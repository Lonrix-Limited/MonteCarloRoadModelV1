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tz\Juno Services Dropbox\projects\nzta\2026\sh_forecast_model\monte_carlo\cassandra\inputs\"/>
    </mc:Choice>
  </mc:AlternateContent>
  <xr:revisionPtr revIDLastSave="0" documentId="13_ncr:1_{03C92551-3F9A-46BA-9A90-3310A332EDA6}" xr6:coauthVersionLast="47" xr6:coauthVersionMax="47" xr10:uidLastSave="{00000000-0000-0000-0000-000000000000}"/>
  <bookViews>
    <workbookView xWindow="7560" yWindow="1180" windowWidth="39720" windowHeight="19660" activeTab="2" xr2:uid="{399D8ED1-DF05-4A41-ABD1-63947F661167}"/>
  </bookViews>
  <sheets>
    <sheet name="lkp_project" sheetId="1" r:id="rId1"/>
    <sheet name="lkp_main" sheetId="3" r:id="rId2"/>
    <sheet name="lkp_calibration" sheetId="4" r:id="rId3"/>
  </sheets>
  <definedNames>
    <definedName name="_xlnm._FilterDatabase" localSheetId="1" hidden="1">lkp_main!$A$1:$D$62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3" l="1"/>
  <c r="D7" i="3"/>
  <c r="D6" i="3"/>
  <c r="D15" i="3"/>
  <c r="C44" i="1"/>
  <c r="C43" i="1"/>
  <c r="C42" i="1"/>
  <c r="C35" i="1"/>
  <c r="C34" i="1"/>
  <c r="C33" i="1"/>
  <c r="D37" i="3"/>
  <c r="D38" i="3"/>
  <c r="D39" i="3"/>
  <c r="D40" i="3"/>
  <c r="D41" i="3"/>
  <c r="D42" i="3"/>
  <c r="D43" i="3"/>
  <c r="D44" i="3"/>
  <c r="D36" i="3"/>
  <c r="D14" i="3"/>
  <c r="D17" i="3"/>
  <c r="D18" i="3"/>
  <c r="D19" i="3"/>
  <c r="D20" i="3"/>
  <c r="D21" i="3"/>
  <c r="D13" i="3"/>
  <c r="D5" i="3"/>
  <c r="D8" i="3"/>
  <c r="D9" i="3"/>
  <c r="D10" i="3"/>
  <c r="D11" i="3"/>
  <c r="D12" i="3"/>
  <c r="D4" i="3"/>
</calcChain>
</file>

<file path=xl/sharedStrings.xml><?xml version="1.0" encoding="utf-8"?>
<sst xmlns="http://schemas.openxmlformats.org/spreadsheetml/2006/main" count="406" uniqueCount="200">
  <si>
    <t>lookup_set_name</t>
  </si>
  <si>
    <t>setting_key</t>
  </si>
  <si>
    <t>setting_value</t>
  </si>
  <si>
    <t>comment</t>
  </si>
  <si>
    <t>general</t>
  </si>
  <si>
    <t>base_date</t>
  </si>
  <si>
    <t>30/06/2025</t>
  </si>
  <si>
    <t>Date to be used as the basis on which Surface Age and Pavement Age is calculated.</t>
  </si>
  <si>
    <t>short_term_periods</t>
  </si>
  <si>
    <t>Number of modelling periods considered short term for purposes of trigger adjustment</t>
  </si>
  <si>
    <t>candidate_selection</t>
  </si>
  <si>
    <t>min_periods_to_next_treat</t>
  </si>
  <si>
    <t>Minimum periods to next treatment (i.e. do not consider treatment if periods to a committed future treatment is less than this)</t>
  </si>
  <si>
    <t>min_sdi_to_treat</t>
  </si>
  <si>
    <t>Minimum SDI to trigger candidate - use to throttle (EITHER condition applied with minimum PDI)</t>
  </si>
  <si>
    <t>min_pdi_to_treat</t>
  </si>
  <si>
    <t>Minimum PDI to trigger candidate - use to throttle  (EITHER condition applied with minimum SPDI)</t>
  </si>
  <si>
    <t>min_sla_to_treat_ac</t>
  </si>
  <si>
    <t>Minimum Surface Life Achieved to consider for AC - gatekeeper that can be used to throttle treatments</t>
  </si>
  <si>
    <t>min_sla_to_treat_cs</t>
  </si>
  <si>
    <t>Minimum Surface Life Achieved to consider for Chipseals - gatekeeper that can be used to throttle treatments</t>
  </si>
  <si>
    <t>treatment_suitability_scores</t>
  </si>
  <si>
    <t>rehab_excess_rut_thresh</t>
  </si>
  <si>
    <t>Rut threshold above which a penalty (for Holding Actions) or boost (for Rehabs) is applied (see below)</t>
  </si>
  <si>
    <t>rehab_excess_rut_fact</t>
  </si>
  <si>
    <t>Multiply excessive rut with this value to get the boost for Rehab TSS based on excessive rut (if any)</t>
  </si>
  <si>
    <t>rehab_pdi_rank</t>
  </si>
  <si>
    <t>PDI rank below which TSS score for Rehab becomes zero</t>
  </si>
  <si>
    <t>holding_pdi_rank_pt1</t>
  </si>
  <si>
    <t>PDI rank below which score for holding action becomes zero</t>
  </si>
  <si>
    <t>holding_pdi_rank_pt2</t>
  </si>
  <si>
    <t>PDI rank at which score for holding action is maximal (100)</t>
  </si>
  <si>
    <t>holding_pdi_rank_pt3</t>
  </si>
  <si>
    <t>TSS for holding action based on PDI when PDI rank is 100</t>
  </si>
  <si>
    <t>holding_max_rut</t>
  </si>
  <si>
    <t>Do not consider holding action if rut is above this value (unless it is not a rehab route in which case it is ignored)</t>
  </si>
  <si>
    <t>preserve_sdi_rank</t>
  </si>
  <si>
    <t>SDI Rank below which score for Preservation becomes zero (we want to apply preservation where there is some surface distress)</t>
  </si>
  <si>
    <t>preserve_max_rut</t>
  </si>
  <si>
    <t>Do not consider preservation if RUT is above this value</t>
  </si>
  <si>
    <t>preserve_min_sla</t>
  </si>
  <si>
    <t>Do not consider preservation if Surface Life Achieved % is below this value</t>
  </si>
  <si>
    <t>mcda_treatment_triggering</t>
  </si>
  <si>
    <t>ac_hmaint_maximum_sla</t>
  </si>
  <si>
    <t>Maximum Surface Life Achieved (%) at which to consider a AC Heavy Maintenance (for SLA over this value, consider only Rehab and Preserve AC with Repairs)</t>
  </si>
  <si>
    <t>maint_pred</t>
  </si>
  <si>
    <t>maint_pdi_threshold</t>
  </si>
  <si>
    <t>Maintenance PDI threshold (force maintenance cost to zero if PDI is below this value)</t>
  </si>
  <si>
    <t>cal_maint_pred</t>
  </si>
  <si>
    <t>Factor to adujst the predicted maintenance cost per km</t>
  </si>
  <si>
    <t>treat_surf_class</t>
  </si>
  <si>
    <t>cs</t>
  </si>
  <si>
    <t>ac</t>
  </si>
  <si>
    <t>BlockRep</t>
  </si>
  <si>
    <t>blocks</t>
  </si>
  <si>
    <t>ConcRep</t>
  </si>
  <si>
    <t>concrete</t>
  </si>
  <si>
    <t>Xtreat</t>
  </si>
  <si>
    <t>other</t>
  </si>
  <si>
    <t>treat_surf_materials</t>
  </si>
  <si>
    <t>1CHIP</t>
  </si>
  <si>
    <t>2CHIP</t>
  </si>
  <si>
    <t>AC</t>
  </si>
  <si>
    <t>Blocks</t>
  </si>
  <si>
    <t>Concrete</t>
  </si>
  <si>
    <t>surf_thickness_new</t>
  </si>
  <si>
    <t>Thickness of new surfacing when treatment with this material type is applied in Rehab</t>
  </si>
  <si>
    <t>surf_thickness_add</t>
  </si>
  <si>
    <t>Thickness ADDED to existing surfacing when treatment with this material type is applied in overlay or reseal</t>
  </si>
  <si>
    <t>preseal_effective</t>
  </si>
  <si>
    <t>road_class</t>
  </si>
  <si>
    <t>low volume</t>
  </si>
  <si>
    <t>Road Class assigned for 'low volume' ONRC category roads</t>
  </si>
  <si>
    <t>access</t>
  </si>
  <si>
    <t>Road Class assigned for 'access' ONRC category roads</t>
  </si>
  <si>
    <t>secondary collector</t>
  </si>
  <si>
    <t>Road Class assigned for 'secondary collector' ONRC category roads</t>
  </si>
  <si>
    <t>primary collector</t>
  </si>
  <si>
    <t>Road Class assigned for 'primary collector' ONRC category roads</t>
  </si>
  <si>
    <t>arterial</t>
  </si>
  <si>
    <t>Road Class assigned for 'arterial' ONRC category roads</t>
  </si>
  <si>
    <t>regional</t>
  </si>
  <si>
    <t>Road Class assigned for 'regional' ONRC category roads</t>
  </si>
  <si>
    <t>national</t>
  </si>
  <si>
    <t>Road Class assigned for 'national' ONRC category roads</t>
  </si>
  <si>
    <t>default</t>
  </si>
  <si>
    <t>Road Class assigned for 'default' ONRC category roads</t>
  </si>
  <si>
    <t>pavement_expected_life</t>
  </si>
  <si>
    <t>surf_life_exp</t>
  </si>
  <si>
    <t>1_1chip_l</t>
  </si>
  <si>
    <t>1_1chip_m</t>
  </si>
  <si>
    <t>1_1chip_h</t>
  </si>
  <si>
    <t>2_1chip_l</t>
  </si>
  <si>
    <t>2_1chip_m</t>
  </si>
  <si>
    <t>2_1chip_h</t>
  </si>
  <si>
    <t>r_1chip_l</t>
  </si>
  <si>
    <t>r_1chip_m</t>
  </si>
  <si>
    <t>r_1chip_h</t>
  </si>
  <si>
    <t>1_2chip_l</t>
  </si>
  <si>
    <t>1_2chip_m</t>
  </si>
  <si>
    <t>1_2chip_h</t>
  </si>
  <si>
    <t>2_2chip_l</t>
  </si>
  <si>
    <t>2_2chip_m</t>
  </si>
  <si>
    <t>2_2chip_h</t>
  </si>
  <si>
    <t>r_2chip_l</t>
  </si>
  <si>
    <t>r_2chip_m</t>
  </si>
  <si>
    <t>r_2chip_h</t>
  </si>
  <si>
    <t>2_ac_l</t>
  </si>
  <si>
    <t>2_ac_m</t>
  </si>
  <si>
    <t>2_ac_h</t>
  </si>
  <si>
    <t>r_ac_l</t>
  </si>
  <si>
    <t>r_ac_m</t>
  </si>
  <si>
    <t>r_ac_h</t>
  </si>
  <si>
    <t>ac_hmaint_min_periods_between</t>
  </si>
  <si>
    <t>Minimum number of periods between AC Heavy Maintenance and any previous treatment (excluding Routine Maintenance)</t>
  </si>
  <si>
    <t>preserve_max_pdi_chipseal</t>
  </si>
  <si>
    <t>Do not consider Chipseal Preservation treatment if PDI is above this value</t>
  </si>
  <si>
    <t>preserve_max_pdi_ac</t>
  </si>
  <si>
    <t>holding_max_pdi_ac</t>
  </si>
  <si>
    <t>Do not consider AC Holding treatment if PDI is above this value</t>
  </si>
  <si>
    <t>Do not consider AC Preservation treatment if PDI is above this value (if above, AC holding will be triggered) - Keep this LOW because Preserve AC includes no repairs!!</t>
  </si>
  <si>
    <t>Expected surface life (in years) for First Coat, 1Chip Seals, Low Volume roads</t>
  </si>
  <si>
    <t>Expected surface life (in years) for First Coat, 1Chip Seals, Medium Volume roads</t>
  </si>
  <si>
    <t>Expected surface life (in years) for First Coat, 1 Chip Seals, High Volume roads</t>
  </si>
  <si>
    <t>Expected surface life (in years) for Second Coat, 1Chip Seals, Low Volume roads</t>
  </si>
  <si>
    <t>Expected surface life (in years) for Second Coat, 1Chip Seals, Medium Volume roads</t>
  </si>
  <si>
    <t>Expected surface life (in years) for Resurfacing, 1Chip Seals, Low Volume roads</t>
  </si>
  <si>
    <t>Expected surface life (in years) for Resurfacing, 1Chip Seals, Medium Volume roads</t>
  </si>
  <si>
    <t>Expected surface life (in years) for First Coat, 2Chip Seals, Low Volume roads</t>
  </si>
  <si>
    <t>Expected surface life (in years) for First Coat, 2Chip Seals, Medium Volume roads</t>
  </si>
  <si>
    <t>Expected surface life (in years) for Second Coat, 2Chip Seals, Low Volume roads</t>
  </si>
  <si>
    <t>Expected surface life (in years) for Second Coat, 2Chip Seals, Medium Volume roads</t>
  </si>
  <si>
    <t>Expected surface life (in years) for Resurfacing, 2Chip Seals, Low Volume roads</t>
  </si>
  <si>
    <t>Expected surface life (in years) for Resurfacing, 2Chip Seals, Medium Volume roads</t>
  </si>
  <si>
    <t>Expected surface life (in years) for Second Coat, Asphalt Surfacing, Low Volume roads</t>
  </si>
  <si>
    <t>Expected surface life (in years) for Second Coat, Asphalt Surfacing, Medium Volume roads</t>
  </si>
  <si>
    <t>Expected surface life (in years) for Resurfacing, Asphalt Surfacing, Low Volume roads</t>
  </si>
  <si>
    <t>Expected surface life (in years) for Resurfacing, Asphalt Surfacing, Medium Volume roads</t>
  </si>
  <si>
    <t>Expected surface life (in years) for Second Coat, Asphalt Surfacing, High Volume roads</t>
  </si>
  <si>
    <t>Expected surface life (in years) for Resurfacing, Asphalt Surfacing, High Volume roads</t>
  </si>
  <si>
    <t>Expected surface life (in years) for Second Coat, 1Chip Seals, High Volume roads</t>
  </si>
  <si>
    <t>Expected surface life (in years) for Resurfacing, 1Chip Seals, High Volume roads</t>
  </si>
  <si>
    <t>Expected surface life (in years) for First Coat, 2Chip Seals, High Volume roads</t>
  </si>
  <si>
    <t>Expected surface life (in years) for Second Coat, 2Chip Seals, High Volume roads</t>
  </si>
  <si>
    <t>Expected surface life (in years) for Resurfacing, 2Chip Seals, High Volume roads</t>
  </si>
  <si>
    <t>default_ac</t>
  </si>
  <si>
    <t>default_ogpa</t>
  </si>
  <si>
    <t>default_cs</t>
  </si>
  <si>
    <t>default_slurry</t>
  </si>
  <si>
    <t>Default expected life for this surface type if the input value is zero/missing</t>
  </si>
  <si>
    <t>episode_length_max</t>
  </si>
  <si>
    <t>rut_and_iri</t>
  </si>
  <si>
    <t>texture</t>
  </si>
  <si>
    <t>Maximum episode length for assigned deterioration rate for Rut and IRI. If last draw of random rate is longer than this ago, then draw new</t>
  </si>
  <si>
    <t>Maximum episode length for assigned deterioration rate for Texture. If last draw of random rate is longer than this ago, then draw new</t>
  </si>
  <si>
    <t>Expected effective pavement life after a rehabilitation treatment</t>
  </si>
  <si>
    <t>l</t>
  </si>
  <si>
    <t>m</t>
  </si>
  <si>
    <t>h</t>
  </si>
  <si>
    <t>ac_resurf</t>
  </si>
  <si>
    <t>ac_rehab</t>
  </si>
  <si>
    <t>cs_resurf</t>
  </si>
  <si>
    <t>cs_rehab</t>
  </si>
  <si>
    <t>OGPA</t>
  </si>
  <si>
    <t>ogpa_resurf</t>
  </si>
  <si>
    <t>ogpa_rehab</t>
  </si>
  <si>
    <t>2_ogpa_l</t>
  </si>
  <si>
    <t>2_ogpa_m</t>
  </si>
  <si>
    <t>2_ogpa_h</t>
  </si>
  <si>
    <t>r_ogpa_l</t>
  </si>
  <si>
    <t>r_ogpa_m</t>
  </si>
  <si>
    <t>r_ogpa_h</t>
  </si>
  <si>
    <t>high volume</t>
  </si>
  <si>
    <t>cal_residuals</t>
  </si>
  <si>
    <t>rut</t>
  </si>
  <si>
    <t>iri</t>
  </si>
  <si>
    <t>Calibration factor for Rut residuals. Residual is multiplied by this factor. Set to zero to remove residual effects completely</t>
  </si>
  <si>
    <t>Calibration factor for IRI residuals. Residual is multiplied by this factor. Set to zero to remove residual effects completely</t>
  </si>
  <si>
    <t>Calibration factor for Texture residuals. Residual is multiplied by this factor. Set to zero to remove residual effects completely</t>
  </si>
  <si>
    <t>cal_maintenance</t>
  </si>
  <si>
    <t>pa_proba</t>
  </si>
  <si>
    <t>Calibration factor for probability of PA maintenance (excluding Pothole filling). Decreasing this decreases probability of PA maintenance</t>
  </si>
  <si>
    <t>Calibration factor for probability of Pothole Filling maintenance. Decreasing this decreases probability of Pothole Filling</t>
  </si>
  <si>
    <t>potfill_proba</t>
  </si>
  <si>
    <t>pa_extent</t>
  </si>
  <si>
    <t>Calibration factor for extent of PA Maintenance. Sampled extent is multiplied by this factor to reduce or increase</t>
  </si>
  <si>
    <t>potfill_extent</t>
  </si>
  <si>
    <t>Calibration factor for extent of Pothole filling extent. Sampled extent is multiplied by this factor to reduce or increase</t>
  </si>
  <si>
    <t>cal_increments</t>
  </si>
  <si>
    <t>Calibration factor for episodic increment for Rut. Sampled value is multiplied by this factor to reduce or increase</t>
  </si>
  <si>
    <t>Calibration factor for episodic increment for IRI. Sampled value is multiplied by this factor to reduce or increase</t>
  </si>
  <si>
    <t>Calibration factor for episodic increment for Texture. Sampled value is multiplied by this factor to reduce or increase</t>
  </si>
  <si>
    <t>cal_resets</t>
  </si>
  <si>
    <t>Calibration factor for Rut reset. Sampled reset value is multiplied by this factor to increase or decrease reset value</t>
  </si>
  <si>
    <t>Calibration factor for IRI reset. Sampled reset value is multiplied by this factor to increase or decrease reset value</t>
  </si>
  <si>
    <t>Calibration factor for Texture reset. Sampled reset value is multiplied by this factor to increase or decrease reset value</t>
  </si>
  <si>
    <t>rut_reduc</t>
  </si>
  <si>
    <t>iri_reduc</t>
  </si>
  <si>
    <t>Calibration factor for reduction (not reset) in IRI assigned when there is PA maintenance. Sampled value is multiplied by this to increase/decrease</t>
  </si>
  <si>
    <t>Calibration factor for reduction (not reset) in Rut assigned when thre is PA maintenance. Sampled value is multiplied by this to increase/decrease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</si>
</sst>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CAD7EE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5E9C9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3"/>
        <bgColor indexed="64"/>
      </patternFill>
    </fill>
    <fill>
      <patternFill patternType="solid">
        <fgColor rgb="FFDFF4FD"/>
        <bgColor indexed="64"/>
      </patternFill>
    </fill>
    <fill>
      <patternFill patternType="solid">
        <fgColor rgb="FFF8E4F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quotePrefix="1" applyFont="1" applyFill="1" applyBorder="1" applyAlignment="1">
      <alignment horizontal="right" vertical="center" inden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 indent="1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right" vertical="center" indent="1"/>
    </xf>
    <xf numFmtId="0" fontId="3" fillId="6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right" vertical="center" indent="1"/>
    </xf>
    <xf numFmtId="0" fontId="3" fillId="7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right" vertical="center" indent="1"/>
    </xf>
    <xf numFmtId="0" fontId="3" fillId="8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right" vertical="center" indent="1"/>
    </xf>
    <xf numFmtId="0" fontId="3" fillId="9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right" vertical="center" indent="1"/>
    </xf>
    <xf numFmtId="0" fontId="3" fillId="10" borderId="1" xfId="0" applyFont="1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right" vertical="center" indent="1"/>
    </xf>
    <xf numFmtId="0" fontId="3" fillId="11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3" fillId="12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right" vertical="center" indent="1"/>
    </xf>
    <xf numFmtId="0" fontId="3" fillId="12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3" fillId="13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vertical="center"/>
    </xf>
    <xf numFmtId="0" fontId="3" fillId="14" borderId="1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vertical="center"/>
    </xf>
    <xf numFmtId="0" fontId="3" fillId="6" borderId="3" xfId="0" applyFont="1" applyFill="1" applyBorder="1" applyAlignment="1">
      <alignment horizontal="right" vertical="center" indent="1"/>
    </xf>
    <xf numFmtId="0" fontId="3" fillId="3" borderId="3" xfId="0" applyFont="1" applyFill="1" applyBorder="1" applyAlignment="1">
      <alignment horizontal="right" vertical="center" inden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right" vertical="center" indent="1"/>
    </xf>
    <xf numFmtId="0" fontId="0" fillId="16" borderId="1" xfId="0" applyFill="1" applyBorder="1" applyAlignment="1">
      <alignment vertical="center"/>
    </xf>
    <xf numFmtId="0" fontId="3" fillId="16" borderId="1" xfId="0" applyFont="1" applyFill="1" applyBorder="1" applyAlignment="1">
      <alignment horizontal="left" vertical="center"/>
    </xf>
    <xf numFmtId="0" fontId="3" fillId="16" borderId="1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indent="1"/>
    </xf>
    <xf numFmtId="0" fontId="0" fillId="14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0" xfId="0" applyFill="1"/>
    <xf numFmtId="0" fontId="0" fillId="17" borderId="1" xfId="0" applyFill="1" applyBorder="1" applyAlignment="1">
      <alignment vertical="center"/>
    </xf>
    <xf numFmtId="0" fontId="3" fillId="17" borderId="1" xfId="0" applyFont="1" applyFill="1" applyBorder="1" applyAlignment="1">
      <alignment horizontal="left" vertical="center"/>
    </xf>
    <xf numFmtId="164" fontId="3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164" fontId="3" fillId="18" borderId="1" xfId="0" applyNumberFormat="1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3" fillId="19" borderId="1" xfId="0" applyFont="1" applyFill="1" applyBorder="1" applyAlignment="1">
      <alignment horizontal="left" vertical="center"/>
    </xf>
    <xf numFmtId="164" fontId="3" fillId="19" borderId="1" xfId="0" applyNumberFormat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4F6"/>
      <color rgb="FFDFF4FD"/>
      <color rgb="FFFF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CD6F7-8574-4932-97C9-769A5EC1126E}">
  <dimension ref="A1:D59"/>
  <sheetViews>
    <sheetView workbookViewId="0">
      <selection activeCell="A66" sqref="A66"/>
    </sheetView>
  </sheetViews>
  <sheetFormatPr defaultRowHeight="14.5" x14ac:dyDescent="0.35"/>
  <cols>
    <col min="1" max="1" width="30" bestFit="1" customWidth="1"/>
    <col min="2" max="2" width="31.54296875" bestFit="1" customWidth="1"/>
    <col min="3" max="3" width="29.1796875" bestFit="1" customWidth="1"/>
    <col min="4" max="4" width="87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5" t="s">
        <v>4</v>
      </c>
      <c r="B2" s="6" t="s">
        <v>5</v>
      </c>
      <c r="C2" s="7" t="s">
        <v>6</v>
      </c>
      <c r="D2" s="8" t="s">
        <v>7</v>
      </c>
    </row>
    <row r="3" spans="1:4" x14ac:dyDescent="0.35">
      <c r="A3" s="5" t="s">
        <v>4</v>
      </c>
      <c r="B3" s="6" t="s">
        <v>8</v>
      </c>
      <c r="C3" s="9">
        <v>3</v>
      </c>
      <c r="D3" s="8" t="s">
        <v>9</v>
      </c>
    </row>
    <row r="4" spans="1:4" x14ac:dyDescent="0.35">
      <c r="A4" s="10" t="s">
        <v>10</v>
      </c>
      <c r="B4" s="11" t="s">
        <v>11</v>
      </c>
      <c r="C4" s="12">
        <v>6</v>
      </c>
      <c r="D4" s="13" t="s">
        <v>12</v>
      </c>
    </row>
    <row r="5" spans="1:4" x14ac:dyDescent="0.35">
      <c r="A5" s="10" t="s">
        <v>10</v>
      </c>
      <c r="B5" s="11" t="s">
        <v>13</v>
      </c>
      <c r="C5" s="56">
        <v>2</v>
      </c>
      <c r="D5" s="13" t="s">
        <v>14</v>
      </c>
    </row>
    <row r="6" spans="1:4" x14ac:dyDescent="0.35">
      <c r="A6" s="10" t="s">
        <v>10</v>
      </c>
      <c r="B6" s="11" t="s">
        <v>15</v>
      </c>
      <c r="C6" s="56">
        <v>2</v>
      </c>
      <c r="D6" s="13" t="s">
        <v>16</v>
      </c>
    </row>
    <row r="7" spans="1:4" x14ac:dyDescent="0.35">
      <c r="A7" s="10" t="s">
        <v>10</v>
      </c>
      <c r="B7" s="11" t="s">
        <v>17</v>
      </c>
      <c r="C7" s="56">
        <v>50</v>
      </c>
      <c r="D7" s="13" t="s">
        <v>18</v>
      </c>
    </row>
    <row r="8" spans="1:4" x14ac:dyDescent="0.35">
      <c r="A8" s="10" t="s">
        <v>10</v>
      </c>
      <c r="B8" s="11" t="s">
        <v>19</v>
      </c>
      <c r="C8" s="56">
        <v>50</v>
      </c>
      <c r="D8" s="13" t="s">
        <v>20</v>
      </c>
    </row>
    <row r="9" spans="1:4" x14ac:dyDescent="0.35">
      <c r="A9" s="14" t="s">
        <v>21</v>
      </c>
      <c r="B9" s="15" t="s">
        <v>22</v>
      </c>
      <c r="C9">
        <v>15.02</v>
      </c>
      <c r="D9" s="16" t="s">
        <v>23</v>
      </c>
    </row>
    <row r="10" spans="1:4" x14ac:dyDescent="0.35">
      <c r="A10" s="14" t="s">
        <v>21</v>
      </c>
      <c r="B10" s="15" t="s">
        <v>24</v>
      </c>
      <c r="C10">
        <v>4.1500000000000004</v>
      </c>
      <c r="D10" s="16" t="s">
        <v>25</v>
      </c>
    </row>
    <row r="11" spans="1:4" x14ac:dyDescent="0.35">
      <c r="A11" s="14" t="s">
        <v>21</v>
      </c>
      <c r="B11" s="49" t="s">
        <v>26</v>
      </c>
      <c r="C11">
        <v>98.75</v>
      </c>
      <c r="D11" s="50" t="s">
        <v>27</v>
      </c>
    </row>
    <row r="12" spans="1:4" x14ac:dyDescent="0.35">
      <c r="A12" s="14" t="s">
        <v>21</v>
      </c>
      <c r="B12" s="49" t="s">
        <v>28</v>
      </c>
      <c r="C12">
        <v>84.23</v>
      </c>
      <c r="D12" s="50" t="s">
        <v>29</v>
      </c>
    </row>
    <row r="13" spans="1:4" x14ac:dyDescent="0.35">
      <c r="A13" s="14" t="s">
        <v>21</v>
      </c>
      <c r="B13" s="49" t="s">
        <v>30</v>
      </c>
      <c r="C13">
        <v>96.52</v>
      </c>
      <c r="D13" s="50" t="s">
        <v>31</v>
      </c>
    </row>
    <row r="14" spans="1:4" x14ac:dyDescent="0.35">
      <c r="A14" s="14" t="s">
        <v>21</v>
      </c>
      <c r="B14" s="49" t="s">
        <v>32</v>
      </c>
      <c r="C14">
        <v>44.31</v>
      </c>
      <c r="D14" s="50" t="s">
        <v>33</v>
      </c>
    </row>
    <row r="15" spans="1:4" x14ac:dyDescent="0.35">
      <c r="A15" s="14" t="s">
        <v>21</v>
      </c>
      <c r="B15" s="49" t="s">
        <v>34</v>
      </c>
      <c r="C15">
        <v>17.71</v>
      </c>
      <c r="D15" s="50" t="s">
        <v>35</v>
      </c>
    </row>
    <row r="16" spans="1:4" x14ac:dyDescent="0.35">
      <c r="A16" s="14" t="s">
        <v>21</v>
      </c>
      <c r="B16" s="49" t="s">
        <v>36</v>
      </c>
      <c r="C16">
        <v>27.11</v>
      </c>
      <c r="D16" s="50" t="s">
        <v>37</v>
      </c>
    </row>
    <row r="17" spans="1:4" x14ac:dyDescent="0.35">
      <c r="A17" s="14" t="s">
        <v>21</v>
      </c>
      <c r="B17" s="49" t="s">
        <v>115</v>
      </c>
      <c r="C17">
        <v>15</v>
      </c>
      <c r="D17" s="50" t="s">
        <v>116</v>
      </c>
    </row>
    <row r="18" spans="1:4" x14ac:dyDescent="0.35">
      <c r="A18" s="14" t="s">
        <v>21</v>
      </c>
      <c r="B18" s="49" t="s">
        <v>117</v>
      </c>
      <c r="C18">
        <v>14.78</v>
      </c>
      <c r="D18" s="50" t="s">
        <v>120</v>
      </c>
    </row>
    <row r="19" spans="1:4" x14ac:dyDescent="0.35">
      <c r="A19" s="14" t="s">
        <v>21</v>
      </c>
      <c r="B19" s="49" t="s">
        <v>118</v>
      </c>
      <c r="C19">
        <v>74.86</v>
      </c>
      <c r="D19" s="50" t="s">
        <v>119</v>
      </c>
    </row>
    <row r="20" spans="1:4" x14ac:dyDescent="0.35">
      <c r="A20" s="14" t="s">
        <v>21</v>
      </c>
      <c r="B20" s="49" t="s">
        <v>38</v>
      </c>
      <c r="C20">
        <v>10.85</v>
      </c>
      <c r="D20" s="50" t="s">
        <v>39</v>
      </c>
    </row>
    <row r="21" spans="1:4" x14ac:dyDescent="0.35">
      <c r="A21" s="14" t="s">
        <v>21</v>
      </c>
      <c r="B21" s="49" t="s">
        <v>40</v>
      </c>
      <c r="C21">
        <v>96.41</v>
      </c>
      <c r="D21" s="50" t="s">
        <v>41</v>
      </c>
    </row>
    <row r="22" spans="1:4" x14ac:dyDescent="0.35">
      <c r="A22" s="5" t="s">
        <v>42</v>
      </c>
      <c r="B22" s="6" t="s">
        <v>43</v>
      </c>
      <c r="C22" s="9">
        <v>90</v>
      </c>
      <c r="D22" s="8" t="s">
        <v>44</v>
      </c>
    </row>
    <row r="23" spans="1:4" x14ac:dyDescent="0.35">
      <c r="A23" s="5" t="s">
        <v>42</v>
      </c>
      <c r="B23" s="6" t="s">
        <v>113</v>
      </c>
      <c r="C23" s="52">
        <v>5</v>
      </c>
      <c r="D23" s="8" t="s">
        <v>114</v>
      </c>
    </row>
    <row r="24" spans="1:4" x14ac:dyDescent="0.35">
      <c r="A24" s="17" t="s">
        <v>45</v>
      </c>
      <c r="B24" s="18" t="s">
        <v>46</v>
      </c>
      <c r="C24" s="51">
        <v>15</v>
      </c>
      <c r="D24" s="20" t="s">
        <v>47</v>
      </c>
    </row>
    <row r="25" spans="1:4" x14ac:dyDescent="0.35">
      <c r="A25" s="17" t="s">
        <v>45</v>
      </c>
      <c r="B25" s="18" t="s">
        <v>48</v>
      </c>
      <c r="C25" s="19">
        <v>0.5</v>
      </c>
      <c r="D25" s="20" t="s">
        <v>49</v>
      </c>
    </row>
    <row r="26" spans="1:4" x14ac:dyDescent="0.35">
      <c r="A26" s="57" t="s">
        <v>88</v>
      </c>
      <c r="B26" s="58" t="s">
        <v>145</v>
      </c>
      <c r="C26" s="60">
        <v>9</v>
      </c>
      <c r="D26" s="59" t="s">
        <v>149</v>
      </c>
    </row>
    <row r="27" spans="1:4" x14ac:dyDescent="0.35">
      <c r="A27" s="57" t="s">
        <v>88</v>
      </c>
      <c r="B27" s="58" t="s">
        <v>146</v>
      </c>
      <c r="C27" s="60">
        <v>8</v>
      </c>
      <c r="D27" s="59" t="s">
        <v>149</v>
      </c>
    </row>
    <row r="28" spans="1:4" x14ac:dyDescent="0.35">
      <c r="A28" s="57" t="s">
        <v>88</v>
      </c>
      <c r="B28" s="58" t="s">
        <v>147</v>
      </c>
      <c r="C28" s="60">
        <v>12</v>
      </c>
      <c r="D28" s="59" t="s">
        <v>149</v>
      </c>
    </row>
    <row r="29" spans="1:4" x14ac:dyDescent="0.35">
      <c r="A29" s="57" t="s">
        <v>88</v>
      </c>
      <c r="B29" s="58" t="s">
        <v>148</v>
      </c>
      <c r="C29" s="60">
        <v>12</v>
      </c>
      <c r="D29" s="59" t="s">
        <v>149</v>
      </c>
    </row>
    <row r="30" spans="1:4" x14ac:dyDescent="0.35">
      <c r="A30" s="41" t="s">
        <v>88</v>
      </c>
      <c r="B30" s="42" t="s">
        <v>89</v>
      </c>
      <c r="C30" s="53">
        <v>2</v>
      </c>
      <c r="D30" s="44" t="s">
        <v>121</v>
      </c>
    </row>
    <row r="31" spans="1:4" x14ac:dyDescent="0.35">
      <c r="A31" s="41" t="s">
        <v>88</v>
      </c>
      <c r="B31" s="42" t="s">
        <v>90</v>
      </c>
      <c r="C31" s="53">
        <v>2</v>
      </c>
      <c r="D31" s="44" t="s">
        <v>122</v>
      </c>
    </row>
    <row r="32" spans="1:4" x14ac:dyDescent="0.35">
      <c r="A32" s="41" t="s">
        <v>88</v>
      </c>
      <c r="B32" s="42" t="s">
        <v>91</v>
      </c>
      <c r="C32" s="53">
        <v>1</v>
      </c>
      <c r="D32" s="44" t="s">
        <v>123</v>
      </c>
    </row>
    <row r="33" spans="1:4" x14ac:dyDescent="0.35">
      <c r="A33" s="41" t="s">
        <v>88</v>
      </c>
      <c r="B33" s="42" t="s">
        <v>92</v>
      </c>
      <c r="C33" s="53">
        <f>+C36+2</f>
        <v>21</v>
      </c>
      <c r="D33" s="44" t="s">
        <v>124</v>
      </c>
    </row>
    <row r="34" spans="1:4" x14ac:dyDescent="0.35">
      <c r="A34" s="41" t="s">
        <v>88</v>
      </c>
      <c r="B34" s="42" t="s">
        <v>93</v>
      </c>
      <c r="C34" s="53">
        <f t="shared" ref="C34:C35" si="0">+C37+2</f>
        <v>18</v>
      </c>
      <c r="D34" s="44" t="s">
        <v>125</v>
      </c>
    </row>
    <row r="35" spans="1:4" x14ac:dyDescent="0.35">
      <c r="A35" s="41" t="s">
        <v>88</v>
      </c>
      <c r="B35" s="42" t="s">
        <v>94</v>
      </c>
      <c r="C35" s="53">
        <f t="shared" si="0"/>
        <v>14</v>
      </c>
      <c r="D35" s="44" t="s">
        <v>140</v>
      </c>
    </row>
    <row r="36" spans="1:4" x14ac:dyDescent="0.35">
      <c r="A36" s="41" t="s">
        <v>88</v>
      </c>
      <c r="B36" s="42" t="s">
        <v>95</v>
      </c>
      <c r="C36" s="53">
        <v>19</v>
      </c>
      <c r="D36" s="44" t="s">
        <v>126</v>
      </c>
    </row>
    <row r="37" spans="1:4" x14ac:dyDescent="0.35">
      <c r="A37" s="41" t="s">
        <v>88</v>
      </c>
      <c r="B37" s="42" t="s">
        <v>96</v>
      </c>
      <c r="C37" s="53">
        <v>16</v>
      </c>
      <c r="D37" s="44" t="s">
        <v>127</v>
      </c>
    </row>
    <row r="38" spans="1:4" x14ac:dyDescent="0.35">
      <c r="A38" s="41" t="s">
        <v>88</v>
      </c>
      <c r="B38" s="42" t="s">
        <v>97</v>
      </c>
      <c r="C38" s="53">
        <v>12</v>
      </c>
      <c r="D38" s="44" t="s">
        <v>141</v>
      </c>
    </row>
    <row r="39" spans="1:4" x14ac:dyDescent="0.35">
      <c r="A39" s="45" t="s">
        <v>88</v>
      </c>
      <c r="B39" s="46" t="s">
        <v>98</v>
      </c>
      <c r="C39" s="54">
        <v>2</v>
      </c>
      <c r="D39" s="44" t="s">
        <v>128</v>
      </c>
    </row>
    <row r="40" spans="1:4" x14ac:dyDescent="0.35">
      <c r="A40" s="45" t="s">
        <v>88</v>
      </c>
      <c r="B40" s="46" t="s">
        <v>99</v>
      </c>
      <c r="C40" s="54">
        <v>2</v>
      </c>
      <c r="D40" s="44" t="s">
        <v>129</v>
      </c>
    </row>
    <row r="41" spans="1:4" x14ac:dyDescent="0.35">
      <c r="A41" s="45" t="s">
        <v>88</v>
      </c>
      <c r="B41" s="46" t="s">
        <v>100</v>
      </c>
      <c r="C41" s="54">
        <v>1</v>
      </c>
      <c r="D41" s="44" t="s">
        <v>142</v>
      </c>
    </row>
    <row r="42" spans="1:4" x14ac:dyDescent="0.35">
      <c r="A42" s="45" t="s">
        <v>88</v>
      </c>
      <c r="B42" s="46" t="s">
        <v>101</v>
      </c>
      <c r="C42" s="54">
        <f>+C45+2</f>
        <v>19</v>
      </c>
      <c r="D42" s="44" t="s">
        <v>130</v>
      </c>
    </row>
    <row r="43" spans="1:4" x14ac:dyDescent="0.35">
      <c r="A43" s="45" t="s">
        <v>88</v>
      </c>
      <c r="B43" s="46" t="s">
        <v>102</v>
      </c>
      <c r="C43" s="54">
        <f t="shared" ref="C43:C44" si="1">+C46+2</f>
        <v>17</v>
      </c>
      <c r="D43" s="44" t="s">
        <v>131</v>
      </c>
    </row>
    <row r="44" spans="1:4" x14ac:dyDescent="0.35">
      <c r="A44" s="45" t="s">
        <v>88</v>
      </c>
      <c r="B44" s="46" t="s">
        <v>103</v>
      </c>
      <c r="C44" s="54">
        <f t="shared" si="1"/>
        <v>12</v>
      </c>
      <c r="D44" s="44" t="s">
        <v>143</v>
      </c>
    </row>
    <row r="45" spans="1:4" x14ac:dyDescent="0.35">
      <c r="A45" s="45" t="s">
        <v>88</v>
      </c>
      <c r="B45" s="46" t="s">
        <v>104</v>
      </c>
      <c r="C45" s="54">
        <v>17</v>
      </c>
      <c r="D45" s="44" t="s">
        <v>132</v>
      </c>
    </row>
    <row r="46" spans="1:4" x14ac:dyDescent="0.35">
      <c r="A46" s="45" t="s">
        <v>88</v>
      </c>
      <c r="B46" s="46" t="s">
        <v>105</v>
      </c>
      <c r="C46" s="54">
        <v>15</v>
      </c>
      <c r="D46" s="44" t="s">
        <v>133</v>
      </c>
    </row>
    <row r="47" spans="1:4" x14ac:dyDescent="0.35">
      <c r="A47" s="45" t="s">
        <v>88</v>
      </c>
      <c r="B47" s="46" t="s">
        <v>106</v>
      </c>
      <c r="C47" s="54">
        <v>10</v>
      </c>
      <c r="D47" s="44" t="s">
        <v>144</v>
      </c>
    </row>
    <row r="48" spans="1:4" x14ac:dyDescent="0.35">
      <c r="A48" s="47" t="s">
        <v>88</v>
      </c>
      <c r="B48" s="48" t="s">
        <v>107</v>
      </c>
      <c r="C48" s="55">
        <v>20</v>
      </c>
      <c r="D48" s="63" t="s">
        <v>134</v>
      </c>
    </row>
    <row r="49" spans="1:4" x14ac:dyDescent="0.35">
      <c r="A49" s="47" t="s">
        <v>88</v>
      </c>
      <c r="B49" s="48" t="s">
        <v>108</v>
      </c>
      <c r="C49" s="55">
        <v>16</v>
      </c>
      <c r="D49" s="63" t="s">
        <v>135</v>
      </c>
    </row>
    <row r="50" spans="1:4" x14ac:dyDescent="0.35">
      <c r="A50" s="47" t="s">
        <v>88</v>
      </c>
      <c r="B50" s="48" t="s">
        <v>109</v>
      </c>
      <c r="C50" s="55">
        <v>12</v>
      </c>
      <c r="D50" s="63" t="s">
        <v>138</v>
      </c>
    </row>
    <row r="51" spans="1:4" x14ac:dyDescent="0.35">
      <c r="A51" s="47" t="s">
        <v>88</v>
      </c>
      <c r="B51" s="48" t="s">
        <v>110</v>
      </c>
      <c r="C51" s="55">
        <v>20</v>
      </c>
      <c r="D51" s="63" t="s">
        <v>136</v>
      </c>
    </row>
    <row r="52" spans="1:4" x14ac:dyDescent="0.35">
      <c r="A52" s="47" t="s">
        <v>88</v>
      </c>
      <c r="B52" s="48" t="s">
        <v>111</v>
      </c>
      <c r="C52" s="55">
        <v>16</v>
      </c>
      <c r="D52" s="63" t="s">
        <v>137</v>
      </c>
    </row>
    <row r="53" spans="1:4" x14ac:dyDescent="0.35">
      <c r="A53" s="47" t="s">
        <v>88</v>
      </c>
      <c r="B53" s="48" t="s">
        <v>112</v>
      </c>
      <c r="C53" s="55">
        <v>12</v>
      </c>
      <c r="D53" s="63" t="s">
        <v>139</v>
      </c>
    </row>
    <row r="54" spans="1:4" x14ac:dyDescent="0.35">
      <c r="A54" s="47" t="s">
        <v>88</v>
      </c>
      <c r="B54" s="48" t="s">
        <v>166</v>
      </c>
      <c r="C54" s="55">
        <v>20</v>
      </c>
      <c r="D54" s="63" t="s">
        <v>134</v>
      </c>
    </row>
    <row r="55" spans="1:4" x14ac:dyDescent="0.35">
      <c r="A55" s="47" t="s">
        <v>88</v>
      </c>
      <c r="B55" s="48" t="s">
        <v>167</v>
      </c>
      <c r="C55" s="55">
        <v>16</v>
      </c>
      <c r="D55" s="63" t="s">
        <v>135</v>
      </c>
    </row>
    <row r="56" spans="1:4" x14ac:dyDescent="0.35">
      <c r="A56" s="47" t="s">
        <v>88</v>
      </c>
      <c r="B56" s="48" t="s">
        <v>168</v>
      </c>
      <c r="C56" s="55">
        <v>12</v>
      </c>
      <c r="D56" s="63" t="s">
        <v>138</v>
      </c>
    </row>
    <row r="57" spans="1:4" x14ac:dyDescent="0.35">
      <c r="A57" s="47" t="s">
        <v>88</v>
      </c>
      <c r="B57" s="48" t="s">
        <v>169</v>
      </c>
      <c r="C57" s="55">
        <v>20</v>
      </c>
      <c r="D57" s="63" t="s">
        <v>136</v>
      </c>
    </row>
    <row r="58" spans="1:4" x14ac:dyDescent="0.35">
      <c r="A58" s="47" t="s">
        <v>88</v>
      </c>
      <c r="B58" s="48" t="s">
        <v>170</v>
      </c>
      <c r="C58" s="55">
        <v>16</v>
      </c>
      <c r="D58" s="63" t="s">
        <v>137</v>
      </c>
    </row>
    <row r="59" spans="1:4" x14ac:dyDescent="0.35">
      <c r="A59" s="47" t="s">
        <v>88</v>
      </c>
      <c r="B59" s="48" t="s">
        <v>171</v>
      </c>
      <c r="C59" s="55">
        <v>12</v>
      </c>
      <c r="D59" s="6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0699-380A-45E9-8DD6-224CE4804BDF}">
  <dimension ref="A1:D62"/>
  <sheetViews>
    <sheetView workbookViewId="0">
      <selection sqref="A1:D5"/>
    </sheetView>
  </sheetViews>
  <sheetFormatPr defaultRowHeight="14.5" x14ac:dyDescent="0.35"/>
  <cols>
    <col min="1" max="1" width="30" bestFit="1" customWidth="1"/>
    <col min="2" max="2" width="31.54296875" bestFit="1" customWidth="1"/>
    <col min="3" max="3" width="29.1796875" bestFit="1" customWidth="1"/>
    <col min="4" max="4" width="124.26953125" bestFit="1" customWidth="1"/>
  </cols>
  <sheetData>
    <row r="1" spans="1:4" x14ac:dyDescent="0.3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5">
      <c r="A2" s="37" t="s">
        <v>150</v>
      </c>
      <c r="B2" s="38" t="s">
        <v>151</v>
      </c>
      <c r="C2" s="39">
        <v>4</v>
      </c>
      <c r="D2" s="40" t="s">
        <v>153</v>
      </c>
    </row>
    <row r="3" spans="1:4" x14ac:dyDescent="0.35">
      <c r="A3" s="37" t="s">
        <v>150</v>
      </c>
      <c r="B3" s="38" t="s">
        <v>152</v>
      </c>
      <c r="C3" s="39">
        <v>3</v>
      </c>
      <c r="D3" s="40" t="s">
        <v>154</v>
      </c>
    </row>
    <row r="4" spans="1:4" x14ac:dyDescent="0.35">
      <c r="A4" s="21" t="s">
        <v>50</v>
      </c>
      <c r="B4" s="22" t="s">
        <v>159</v>
      </c>
      <c r="C4" s="23" t="s">
        <v>52</v>
      </c>
      <c r="D4" s="24" t="str">
        <f>"Surface Class assigned after placement of '" &amp;B4&amp; "' treatment"</f>
        <v>Surface Class assigned after placement of 'ac_resurf' treatment</v>
      </c>
    </row>
    <row r="5" spans="1:4" x14ac:dyDescent="0.35">
      <c r="A5" s="21" t="s">
        <v>50</v>
      </c>
      <c r="B5" s="22" t="s">
        <v>160</v>
      </c>
      <c r="C5" s="23" t="s">
        <v>52</v>
      </c>
      <c r="D5" s="24" t="str">
        <f t="shared" ref="D5:D12" si="0">"Surface Class assigned after placement of '" &amp;B5&amp; "' treatment"</f>
        <v>Surface Class assigned after placement of 'ac_rehab' treatment</v>
      </c>
    </row>
    <row r="6" spans="1:4" x14ac:dyDescent="0.35">
      <c r="A6" s="21" t="s">
        <v>50</v>
      </c>
      <c r="B6" s="22" t="s">
        <v>164</v>
      </c>
      <c r="C6" s="23" t="s">
        <v>52</v>
      </c>
      <c r="D6" s="24" t="str">
        <f t="shared" si="0"/>
        <v>Surface Class assigned after placement of 'ogpa_resurf' treatment</v>
      </c>
    </row>
    <row r="7" spans="1:4" x14ac:dyDescent="0.35">
      <c r="A7" s="21" t="s">
        <v>50</v>
      </c>
      <c r="B7" s="22" t="s">
        <v>165</v>
      </c>
      <c r="C7" s="23" t="s">
        <v>52</v>
      </c>
      <c r="D7" s="24" t="str">
        <f t="shared" si="0"/>
        <v>Surface Class assigned after placement of 'ogpa_rehab' treatment</v>
      </c>
    </row>
    <row r="8" spans="1:4" x14ac:dyDescent="0.35">
      <c r="A8" s="21" t="s">
        <v>50</v>
      </c>
      <c r="B8" s="22" t="s">
        <v>161</v>
      </c>
      <c r="C8" s="23" t="s">
        <v>51</v>
      </c>
      <c r="D8" s="24" t="str">
        <f t="shared" si="0"/>
        <v>Surface Class assigned after placement of 'cs_resurf' treatment</v>
      </c>
    </row>
    <row r="9" spans="1:4" x14ac:dyDescent="0.35">
      <c r="A9" s="21" t="s">
        <v>50</v>
      </c>
      <c r="B9" s="22" t="s">
        <v>162</v>
      </c>
      <c r="C9" s="23" t="s">
        <v>51</v>
      </c>
      <c r="D9" s="24" t="str">
        <f t="shared" si="0"/>
        <v>Surface Class assigned after placement of 'cs_rehab' treatment</v>
      </c>
    </row>
    <row r="10" spans="1:4" x14ac:dyDescent="0.35">
      <c r="A10" s="21" t="s">
        <v>50</v>
      </c>
      <c r="B10" s="22" t="s">
        <v>53</v>
      </c>
      <c r="C10" s="23" t="s">
        <v>54</v>
      </c>
      <c r="D10" s="24" t="str">
        <f t="shared" si="0"/>
        <v>Surface Class assigned after placement of 'BlockRep' treatment</v>
      </c>
    </row>
    <row r="11" spans="1:4" x14ac:dyDescent="0.35">
      <c r="A11" s="21" t="s">
        <v>50</v>
      </c>
      <c r="B11" s="22" t="s">
        <v>55</v>
      </c>
      <c r="C11" s="23" t="s">
        <v>56</v>
      </c>
      <c r="D11" s="24" t="str">
        <f t="shared" si="0"/>
        <v>Surface Class assigned after placement of 'ConcRep' treatment</v>
      </c>
    </row>
    <row r="12" spans="1:4" x14ac:dyDescent="0.35">
      <c r="A12" s="21" t="s">
        <v>50</v>
      </c>
      <c r="B12" s="22" t="s">
        <v>57</v>
      </c>
      <c r="C12" s="23" t="s">
        <v>58</v>
      </c>
      <c r="D12" s="24" t="str">
        <f t="shared" si="0"/>
        <v>Surface Class assigned after placement of 'Xtreat' treatment</v>
      </c>
    </row>
    <row r="13" spans="1:4" x14ac:dyDescent="0.35">
      <c r="A13" s="25" t="s">
        <v>59</v>
      </c>
      <c r="B13" s="26" t="s">
        <v>159</v>
      </c>
      <c r="C13" s="27" t="s">
        <v>62</v>
      </c>
      <c r="D13" s="28" t="str">
        <f>"Surface Material assigned after placement of '" &amp;B13&amp; "' treatment"</f>
        <v>Surface Material assigned after placement of 'ac_resurf' treatment</v>
      </c>
    </row>
    <row r="14" spans="1:4" x14ac:dyDescent="0.35">
      <c r="A14" s="25" t="s">
        <v>59</v>
      </c>
      <c r="B14" s="26" t="s">
        <v>160</v>
      </c>
      <c r="C14" s="27" t="s">
        <v>62</v>
      </c>
      <c r="D14" s="28" t="str">
        <f t="shared" ref="D14:D21" si="1">"Surface Material assigned after placement of '" &amp;B14&amp; "' treatment"</f>
        <v>Surface Material assigned after placement of 'ac_rehab' treatment</v>
      </c>
    </row>
    <row r="15" spans="1:4" x14ac:dyDescent="0.35">
      <c r="A15" s="25" t="s">
        <v>59</v>
      </c>
      <c r="B15" s="26" t="s">
        <v>164</v>
      </c>
      <c r="C15" s="27" t="s">
        <v>163</v>
      </c>
      <c r="D15" s="28" t="str">
        <f t="shared" si="1"/>
        <v>Surface Material assigned after placement of 'ogpa_resurf' treatment</v>
      </c>
    </row>
    <row r="16" spans="1:4" x14ac:dyDescent="0.35">
      <c r="A16" s="25" t="s">
        <v>59</v>
      </c>
      <c r="B16" s="26" t="s">
        <v>165</v>
      </c>
      <c r="C16" s="27" t="s">
        <v>163</v>
      </c>
      <c r="D16" s="28" t="str">
        <f t="shared" si="1"/>
        <v>Surface Material assigned after placement of 'ogpa_rehab' treatment</v>
      </c>
    </row>
    <row r="17" spans="1:4" x14ac:dyDescent="0.35">
      <c r="A17" s="25" t="s">
        <v>59</v>
      </c>
      <c r="B17" s="26" t="s">
        <v>161</v>
      </c>
      <c r="C17" s="27" t="s">
        <v>61</v>
      </c>
      <c r="D17" s="28" t="str">
        <f t="shared" si="1"/>
        <v>Surface Material assigned after placement of 'cs_resurf' treatment</v>
      </c>
    </row>
    <row r="18" spans="1:4" x14ac:dyDescent="0.35">
      <c r="A18" s="25" t="s">
        <v>59</v>
      </c>
      <c r="B18" s="26" t="s">
        <v>162</v>
      </c>
      <c r="C18" s="27" t="s">
        <v>60</v>
      </c>
      <c r="D18" s="28" t="str">
        <f t="shared" si="1"/>
        <v>Surface Material assigned after placement of 'cs_rehab' treatment</v>
      </c>
    </row>
    <row r="19" spans="1:4" x14ac:dyDescent="0.35">
      <c r="A19" s="25" t="s">
        <v>59</v>
      </c>
      <c r="B19" s="26" t="s">
        <v>53</v>
      </c>
      <c r="C19" s="27" t="s">
        <v>63</v>
      </c>
      <c r="D19" s="28" t="str">
        <f t="shared" si="1"/>
        <v>Surface Material assigned after placement of 'BlockRep' treatment</v>
      </c>
    </row>
    <row r="20" spans="1:4" x14ac:dyDescent="0.35">
      <c r="A20" s="25" t="s">
        <v>59</v>
      </c>
      <c r="B20" s="26" t="s">
        <v>55</v>
      </c>
      <c r="C20" s="27" t="s">
        <v>64</v>
      </c>
      <c r="D20" s="28" t="str">
        <f t="shared" si="1"/>
        <v>Surface Material assigned after placement of 'ConcRep' treatment</v>
      </c>
    </row>
    <row r="21" spans="1:4" x14ac:dyDescent="0.35">
      <c r="A21" s="25" t="s">
        <v>59</v>
      </c>
      <c r="B21" s="26" t="s">
        <v>57</v>
      </c>
      <c r="C21" s="27" t="s">
        <v>58</v>
      </c>
      <c r="D21" s="28" t="str">
        <f t="shared" si="1"/>
        <v>Surface Material assigned after placement of 'Xtreat' treatment</v>
      </c>
    </row>
    <row r="22" spans="1:4" x14ac:dyDescent="0.35">
      <c r="A22" s="29" t="s">
        <v>65</v>
      </c>
      <c r="B22" s="30" t="s">
        <v>60</v>
      </c>
      <c r="C22" s="31">
        <v>10</v>
      </c>
      <c r="D22" s="32" t="s">
        <v>66</v>
      </c>
    </row>
    <row r="23" spans="1:4" x14ac:dyDescent="0.35">
      <c r="A23" s="29" t="s">
        <v>65</v>
      </c>
      <c r="B23" s="30" t="s">
        <v>61</v>
      </c>
      <c r="C23" s="31">
        <v>15</v>
      </c>
      <c r="D23" s="32" t="s">
        <v>66</v>
      </c>
    </row>
    <row r="24" spans="1:4" x14ac:dyDescent="0.35">
      <c r="A24" s="29" t="s">
        <v>65</v>
      </c>
      <c r="B24" s="30" t="s">
        <v>62</v>
      </c>
      <c r="C24" s="31">
        <v>35</v>
      </c>
      <c r="D24" s="32" t="s">
        <v>66</v>
      </c>
    </row>
    <row r="25" spans="1:4" x14ac:dyDescent="0.35">
      <c r="A25" s="29" t="s">
        <v>65</v>
      </c>
      <c r="B25" s="30" t="s">
        <v>163</v>
      </c>
      <c r="C25" s="31">
        <v>50</v>
      </c>
      <c r="D25" s="32" t="s">
        <v>66</v>
      </c>
    </row>
    <row r="26" spans="1:4" x14ac:dyDescent="0.35">
      <c r="A26" s="29" t="s">
        <v>65</v>
      </c>
      <c r="B26" s="30" t="s">
        <v>63</v>
      </c>
      <c r="C26" s="31">
        <v>100</v>
      </c>
      <c r="D26" s="32" t="s">
        <v>66</v>
      </c>
    </row>
    <row r="27" spans="1:4" x14ac:dyDescent="0.35">
      <c r="A27" s="29" t="s">
        <v>65</v>
      </c>
      <c r="B27" s="30" t="s">
        <v>64</v>
      </c>
      <c r="C27" s="31">
        <v>100</v>
      </c>
      <c r="D27" s="32" t="s">
        <v>66</v>
      </c>
    </row>
    <row r="28" spans="1:4" x14ac:dyDescent="0.35">
      <c r="A28" s="29" t="s">
        <v>65</v>
      </c>
      <c r="B28" s="30" t="s">
        <v>58</v>
      </c>
      <c r="C28" s="31">
        <v>99</v>
      </c>
      <c r="D28" s="32" t="s">
        <v>66</v>
      </c>
    </row>
    <row r="29" spans="1:4" x14ac:dyDescent="0.35">
      <c r="A29" s="33" t="s">
        <v>67</v>
      </c>
      <c r="B29" s="34" t="s">
        <v>60</v>
      </c>
      <c r="C29" s="35">
        <v>10</v>
      </c>
      <c r="D29" s="36" t="s">
        <v>68</v>
      </c>
    </row>
    <row r="30" spans="1:4" x14ac:dyDescent="0.35">
      <c r="A30" s="33" t="s">
        <v>67</v>
      </c>
      <c r="B30" s="34" t="s">
        <v>61</v>
      </c>
      <c r="C30" s="35">
        <v>15</v>
      </c>
      <c r="D30" s="36" t="s">
        <v>68</v>
      </c>
    </row>
    <row r="31" spans="1:4" x14ac:dyDescent="0.35">
      <c r="A31" s="33" t="s">
        <v>67</v>
      </c>
      <c r="B31" s="34" t="s">
        <v>62</v>
      </c>
      <c r="C31" s="35">
        <v>30</v>
      </c>
      <c r="D31" s="36" t="s">
        <v>68</v>
      </c>
    </row>
    <row r="32" spans="1:4" x14ac:dyDescent="0.35">
      <c r="A32" s="33" t="s">
        <v>67</v>
      </c>
      <c r="B32" s="34" t="s">
        <v>163</v>
      </c>
      <c r="C32" s="35">
        <v>30</v>
      </c>
      <c r="D32" s="36" t="s">
        <v>68</v>
      </c>
    </row>
    <row r="33" spans="1:4" x14ac:dyDescent="0.35">
      <c r="A33" s="33" t="s">
        <v>67</v>
      </c>
      <c r="B33" s="34" t="s">
        <v>63</v>
      </c>
      <c r="C33" s="35">
        <v>0</v>
      </c>
      <c r="D33" s="36" t="s">
        <v>68</v>
      </c>
    </row>
    <row r="34" spans="1:4" x14ac:dyDescent="0.35">
      <c r="A34" s="33" t="s">
        <v>67</v>
      </c>
      <c r="B34" s="34" t="s">
        <v>64</v>
      </c>
      <c r="C34" s="35">
        <v>0</v>
      </c>
      <c r="D34" s="36" t="s">
        <v>68</v>
      </c>
    </row>
    <row r="35" spans="1:4" x14ac:dyDescent="0.35">
      <c r="A35" s="33" t="s">
        <v>67</v>
      </c>
      <c r="B35" s="34" t="s">
        <v>58</v>
      </c>
      <c r="C35" s="35">
        <v>0</v>
      </c>
      <c r="D35" s="36" t="s">
        <v>68</v>
      </c>
    </row>
    <row r="36" spans="1:4" x14ac:dyDescent="0.35">
      <c r="A36" s="37" t="s">
        <v>69</v>
      </c>
      <c r="B36" s="38">
        <v>0</v>
      </c>
      <c r="C36" s="39">
        <v>0</v>
      </c>
      <c r="D36" s="40" t="str">
        <f>"Assign " &amp; C36 &amp; " of the total area for Heavy Maintenance if PDI (% Structural Distress) is " &amp; B36</f>
        <v>Assign 0 of the total area for Heavy Maintenance if PDI (% Structural Distress) is 0</v>
      </c>
    </row>
    <row r="37" spans="1:4" x14ac:dyDescent="0.35">
      <c r="A37" s="37" t="s">
        <v>69</v>
      </c>
      <c r="B37" s="38">
        <v>10</v>
      </c>
      <c r="C37" s="39">
        <v>0.05</v>
      </c>
      <c r="D37" s="40" t="str">
        <f t="shared" ref="D37:D44" si="2">"Assign " &amp; C37 &amp; " of the total area for Heavy Maintenance if PDI (% Structural Distress) is " &amp; B37</f>
        <v>Assign 0.05 of the total area for Heavy Maintenance if PDI (% Structural Distress) is 10</v>
      </c>
    </row>
    <row r="38" spans="1:4" x14ac:dyDescent="0.35">
      <c r="A38" s="37" t="s">
        <v>69</v>
      </c>
      <c r="B38" s="38">
        <v>20</v>
      </c>
      <c r="C38" s="39">
        <v>0.1</v>
      </c>
      <c r="D38" s="40" t="str">
        <f t="shared" si="2"/>
        <v>Assign 0.1 of the total area for Heavy Maintenance if PDI (% Structural Distress) is 20</v>
      </c>
    </row>
    <row r="39" spans="1:4" x14ac:dyDescent="0.35">
      <c r="A39" s="37" t="s">
        <v>69</v>
      </c>
      <c r="B39" s="38">
        <v>30</v>
      </c>
      <c r="C39" s="39">
        <v>0.15</v>
      </c>
      <c r="D39" s="40" t="str">
        <f t="shared" si="2"/>
        <v>Assign 0.15 of the total area for Heavy Maintenance if PDI (% Structural Distress) is 30</v>
      </c>
    </row>
    <row r="40" spans="1:4" x14ac:dyDescent="0.35">
      <c r="A40" s="37" t="s">
        <v>69</v>
      </c>
      <c r="B40" s="38">
        <v>40</v>
      </c>
      <c r="C40" s="39">
        <v>0.2</v>
      </c>
      <c r="D40" s="40" t="str">
        <f t="shared" si="2"/>
        <v>Assign 0.2 of the total area for Heavy Maintenance if PDI (% Structural Distress) is 40</v>
      </c>
    </row>
    <row r="41" spans="1:4" x14ac:dyDescent="0.35">
      <c r="A41" s="37" t="s">
        <v>69</v>
      </c>
      <c r="B41" s="38">
        <v>50</v>
      </c>
      <c r="C41" s="39">
        <v>0.3</v>
      </c>
      <c r="D41" s="40" t="str">
        <f t="shared" si="2"/>
        <v>Assign 0.3 of the total area for Heavy Maintenance if PDI (% Structural Distress) is 50</v>
      </c>
    </row>
    <row r="42" spans="1:4" x14ac:dyDescent="0.35">
      <c r="A42" s="37" t="s">
        <v>69</v>
      </c>
      <c r="B42" s="38">
        <v>60</v>
      </c>
      <c r="C42" s="39">
        <v>0.4</v>
      </c>
      <c r="D42" s="40" t="str">
        <f t="shared" si="2"/>
        <v>Assign 0.4 of the total area for Heavy Maintenance if PDI (% Structural Distress) is 60</v>
      </c>
    </row>
    <row r="43" spans="1:4" x14ac:dyDescent="0.35">
      <c r="A43" s="37" t="s">
        <v>69</v>
      </c>
      <c r="B43" s="38">
        <v>70</v>
      </c>
      <c r="C43" s="39">
        <v>0.5</v>
      </c>
      <c r="D43" s="40" t="str">
        <f t="shared" si="2"/>
        <v>Assign 0.5 of the total area for Heavy Maintenance if PDI (% Structural Distress) is 70</v>
      </c>
    </row>
    <row r="44" spans="1:4" x14ac:dyDescent="0.35">
      <c r="A44" s="37" t="s">
        <v>69</v>
      </c>
      <c r="B44" s="38">
        <v>80</v>
      </c>
      <c r="C44" s="39">
        <v>0.7</v>
      </c>
      <c r="D44" s="40" t="str">
        <f t="shared" si="2"/>
        <v>Assign 0.7 of the total area for Heavy Maintenance if PDI (% Structural Distress) is 80</v>
      </c>
    </row>
    <row r="45" spans="1:4" x14ac:dyDescent="0.35">
      <c r="A45" s="41" t="s">
        <v>70</v>
      </c>
      <c r="B45" s="42" t="s">
        <v>71</v>
      </c>
      <c r="C45" s="43" t="s">
        <v>156</v>
      </c>
      <c r="D45" s="44" t="s">
        <v>72</v>
      </c>
    </row>
    <row r="46" spans="1:4" x14ac:dyDescent="0.35">
      <c r="A46" s="41" t="s">
        <v>70</v>
      </c>
      <c r="B46" s="42" t="s">
        <v>73</v>
      </c>
      <c r="C46" s="43" t="s">
        <v>156</v>
      </c>
      <c r="D46" s="44" t="s">
        <v>74</v>
      </c>
    </row>
    <row r="47" spans="1:4" x14ac:dyDescent="0.35">
      <c r="A47" s="41" t="s">
        <v>70</v>
      </c>
      <c r="B47" s="42" t="s">
        <v>75</v>
      </c>
      <c r="C47" s="43" t="s">
        <v>157</v>
      </c>
      <c r="D47" s="44" t="s">
        <v>76</v>
      </c>
    </row>
    <row r="48" spans="1:4" x14ac:dyDescent="0.35">
      <c r="A48" s="41" t="s">
        <v>70</v>
      </c>
      <c r="B48" s="42" t="s">
        <v>77</v>
      </c>
      <c r="C48" s="43" t="s">
        <v>158</v>
      </c>
      <c r="D48" s="44" t="s">
        <v>78</v>
      </c>
    </row>
    <row r="49" spans="1:4" x14ac:dyDescent="0.35">
      <c r="A49" s="41" t="s">
        <v>70</v>
      </c>
      <c r="B49" s="42" t="s">
        <v>79</v>
      </c>
      <c r="C49" s="43" t="s">
        <v>158</v>
      </c>
      <c r="D49" s="44" t="s">
        <v>80</v>
      </c>
    </row>
    <row r="50" spans="1:4" x14ac:dyDescent="0.35">
      <c r="A50" s="41" t="s">
        <v>70</v>
      </c>
      <c r="B50" s="42" t="s">
        <v>81</v>
      </c>
      <c r="C50" s="43" t="s">
        <v>158</v>
      </c>
      <c r="D50" s="44" t="s">
        <v>82</v>
      </c>
    </row>
    <row r="51" spans="1:4" x14ac:dyDescent="0.35">
      <c r="A51" s="41" t="s">
        <v>70</v>
      </c>
      <c r="B51" s="42" t="s">
        <v>83</v>
      </c>
      <c r="C51" s="43" t="s">
        <v>158</v>
      </c>
      <c r="D51" s="44" t="s">
        <v>84</v>
      </c>
    </row>
    <row r="52" spans="1:4" x14ac:dyDescent="0.35">
      <c r="A52" s="41" t="s">
        <v>70</v>
      </c>
      <c r="B52" s="42" t="s">
        <v>172</v>
      </c>
      <c r="C52" s="43" t="s">
        <v>158</v>
      </c>
      <c r="D52" s="44" t="s">
        <v>84</v>
      </c>
    </row>
    <row r="53" spans="1:4" x14ac:dyDescent="0.35">
      <c r="A53" s="41" t="s">
        <v>70</v>
      </c>
      <c r="B53" s="42" t="s">
        <v>85</v>
      </c>
      <c r="C53" s="43" t="s">
        <v>157</v>
      </c>
      <c r="D53" s="44" t="s">
        <v>86</v>
      </c>
    </row>
    <row r="54" spans="1:4" x14ac:dyDescent="0.35">
      <c r="A54" s="29" t="s">
        <v>87</v>
      </c>
      <c r="B54" s="30" t="s">
        <v>71</v>
      </c>
      <c r="C54" s="31">
        <v>50</v>
      </c>
      <c r="D54" s="32" t="s">
        <v>155</v>
      </c>
    </row>
    <row r="55" spans="1:4" x14ac:dyDescent="0.35">
      <c r="A55" s="29" t="s">
        <v>87</v>
      </c>
      <c r="B55" s="30" t="s">
        <v>73</v>
      </c>
      <c r="C55" s="31">
        <v>40</v>
      </c>
      <c r="D55" s="32" t="s">
        <v>155</v>
      </c>
    </row>
    <row r="56" spans="1:4" x14ac:dyDescent="0.35">
      <c r="A56" s="29" t="s">
        <v>87</v>
      </c>
      <c r="B56" s="30" t="s">
        <v>75</v>
      </c>
      <c r="C56" s="31">
        <v>35</v>
      </c>
      <c r="D56" s="32" t="s">
        <v>155</v>
      </c>
    </row>
    <row r="57" spans="1:4" x14ac:dyDescent="0.35">
      <c r="A57" s="29" t="s">
        <v>87</v>
      </c>
      <c r="B57" s="30" t="s">
        <v>77</v>
      </c>
      <c r="C57" s="31">
        <v>30</v>
      </c>
      <c r="D57" s="32" t="s">
        <v>155</v>
      </c>
    </row>
    <row r="58" spans="1:4" x14ac:dyDescent="0.35">
      <c r="A58" s="29" t="s">
        <v>87</v>
      </c>
      <c r="B58" s="30" t="s">
        <v>79</v>
      </c>
      <c r="C58" s="31">
        <v>25</v>
      </c>
      <c r="D58" s="32" t="s">
        <v>155</v>
      </c>
    </row>
    <row r="59" spans="1:4" x14ac:dyDescent="0.35">
      <c r="A59" s="29" t="s">
        <v>87</v>
      </c>
      <c r="B59" s="30" t="s">
        <v>81</v>
      </c>
      <c r="C59" s="31">
        <v>25</v>
      </c>
      <c r="D59" s="32" t="s">
        <v>155</v>
      </c>
    </row>
    <row r="60" spans="1:4" x14ac:dyDescent="0.35">
      <c r="A60" s="29" t="s">
        <v>87</v>
      </c>
      <c r="B60" s="61" t="s">
        <v>83</v>
      </c>
      <c r="C60" s="62">
        <v>25</v>
      </c>
      <c r="D60" s="32" t="s">
        <v>155</v>
      </c>
    </row>
    <row r="61" spans="1:4" x14ac:dyDescent="0.35">
      <c r="A61" s="29" t="s">
        <v>87</v>
      </c>
      <c r="B61" s="61" t="s">
        <v>172</v>
      </c>
      <c r="C61" s="62">
        <v>25</v>
      </c>
      <c r="D61" s="32" t="s">
        <v>155</v>
      </c>
    </row>
    <row r="62" spans="1:4" x14ac:dyDescent="0.35">
      <c r="A62" s="29" t="s">
        <v>87</v>
      </c>
      <c r="B62" s="61" t="s">
        <v>85</v>
      </c>
      <c r="C62" s="62">
        <v>30</v>
      </c>
      <c r="D62" s="32" t="s">
        <v>155</v>
      </c>
    </row>
  </sheetData>
  <autoFilter ref="A1:D62" xr:uid="{2E260699-380A-45E9-8DD6-224CE4804BD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078F-C133-4C4C-9D98-1BB64E61DB7F}">
  <dimension ref="A1:D335"/>
  <sheetViews>
    <sheetView tabSelected="1" workbookViewId="0">
      <selection activeCell="D23" sqref="D23"/>
    </sheetView>
  </sheetViews>
  <sheetFormatPr defaultRowHeight="14.5" x14ac:dyDescent="0.35"/>
  <cols>
    <col min="1" max="1" width="17.36328125" bestFit="1" customWidth="1"/>
    <col min="2" max="2" width="11.26953125" bestFit="1" customWidth="1"/>
    <col min="3" max="3" width="13.08984375" style="66" bestFit="1" customWidth="1"/>
    <col min="4" max="4" width="116.08984375" bestFit="1" customWidth="1"/>
  </cols>
  <sheetData>
    <row r="1" spans="1:4" x14ac:dyDescent="0.35">
      <c r="A1" s="67" t="s">
        <v>0</v>
      </c>
      <c r="B1" s="64" t="s">
        <v>1</v>
      </c>
      <c r="C1" s="64" t="s">
        <v>2</v>
      </c>
      <c r="D1" s="64" t="s">
        <v>3</v>
      </c>
    </row>
    <row r="2" spans="1:4" x14ac:dyDescent="0.35">
      <c r="A2" s="73" t="s">
        <v>173</v>
      </c>
      <c r="B2" s="74" t="s">
        <v>174</v>
      </c>
      <c r="C2" s="75">
        <v>1</v>
      </c>
      <c r="D2" s="76" t="s">
        <v>176</v>
      </c>
    </row>
    <row r="3" spans="1:4" x14ac:dyDescent="0.35">
      <c r="A3" s="73" t="s">
        <v>173</v>
      </c>
      <c r="B3" s="74" t="s">
        <v>175</v>
      </c>
      <c r="C3" s="75">
        <v>1</v>
      </c>
      <c r="D3" s="76" t="s">
        <v>177</v>
      </c>
    </row>
    <row r="4" spans="1:4" x14ac:dyDescent="0.35">
      <c r="A4" s="73" t="s">
        <v>173</v>
      </c>
      <c r="B4" s="74" t="s">
        <v>152</v>
      </c>
      <c r="C4" s="75">
        <v>1</v>
      </c>
      <c r="D4" s="76" t="s">
        <v>178</v>
      </c>
    </row>
    <row r="5" spans="1:4" x14ac:dyDescent="0.35">
      <c r="A5" s="77" t="s">
        <v>179</v>
      </c>
      <c r="B5" s="78" t="s">
        <v>180</v>
      </c>
      <c r="C5" s="79">
        <v>1</v>
      </c>
      <c r="D5" s="80" t="s">
        <v>181</v>
      </c>
    </row>
    <row r="6" spans="1:4" x14ac:dyDescent="0.35">
      <c r="A6" s="77" t="s">
        <v>179</v>
      </c>
      <c r="B6" s="78" t="s">
        <v>183</v>
      </c>
      <c r="C6" s="79">
        <v>1</v>
      </c>
      <c r="D6" s="80" t="s">
        <v>182</v>
      </c>
    </row>
    <row r="7" spans="1:4" x14ac:dyDescent="0.35">
      <c r="A7" s="77" t="s">
        <v>179</v>
      </c>
      <c r="B7" s="78" t="s">
        <v>184</v>
      </c>
      <c r="C7" s="79">
        <v>1</v>
      </c>
      <c r="D7" s="80" t="s">
        <v>185</v>
      </c>
    </row>
    <row r="8" spans="1:4" x14ac:dyDescent="0.35">
      <c r="A8" s="77" t="s">
        <v>179</v>
      </c>
      <c r="B8" s="78" t="s">
        <v>186</v>
      </c>
      <c r="C8" s="79">
        <v>1</v>
      </c>
      <c r="D8" s="80" t="s">
        <v>187</v>
      </c>
    </row>
    <row r="9" spans="1:4" x14ac:dyDescent="0.35">
      <c r="A9" s="77" t="s">
        <v>179</v>
      </c>
      <c r="B9" s="78" t="s">
        <v>196</v>
      </c>
      <c r="C9" s="79">
        <v>1</v>
      </c>
      <c r="D9" s="80" t="s">
        <v>199</v>
      </c>
    </row>
    <row r="10" spans="1:4" x14ac:dyDescent="0.35">
      <c r="A10" s="77" t="s">
        <v>179</v>
      </c>
      <c r="B10" s="78" t="s">
        <v>197</v>
      </c>
      <c r="C10" s="79">
        <v>1</v>
      </c>
      <c r="D10" s="80" t="s">
        <v>198</v>
      </c>
    </row>
    <row r="11" spans="1:4" x14ac:dyDescent="0.35">
      <c r="A11" s="37" t="s">
        <v>188</v>
      </c>
      <c r="B11" s="38" t="s">
        <v>174</v>
      </c>
      <c r="C11" s="65">
        <v>1</v>
      </c>
      <c r="D11" s="40" t="s">
        <v>189</v>
      </c>
    </row>
    <row r="12" spans="1:4" x14ac:dyDescent="0.35">
      <c r="A12" s="37" t="s">
        <v>188</v>
      </c>
      <c r="B12" s="38" t="s">
        <v>175</v>
      </c>
      <c r="C12" s="65">
        <v>1</v>
      </c>
      <c r="D12" s="40" t="s">
        <v>190</v>
      </c>
    </row>
    <row r="13" spans="1:4" x14ac:dyDescent="0.35">
      <c r="A13" s="37" t="s">
        <v>188</v>
      </c>
      <c r="B13" s="38" t="s">
        <v>152</v>
      </c>
      <c r="C13" s="65">
        <v>1</v>
      </c>
      <c r="D13" s="40" t="s">
        <v>191</v>
      </c>
    </row>
    <row r="14" spans="1:4" x14ac:dyDescent="0.35">
      <c r="A14" s="81" t="s">
        <v>192</v>
      </c>
      <c r="B14" s="82" t="s">
        <v>174</v>
      </c>
      <c r="C14" s="83">
        <v>1</v>
      </c>
      <c r="D14" s="84" t="s">
        <v>193</v>
      </c>
    </row>
    <row r="15" spans="1:4" x14ac:dyDescent="0.35">
      <c r="A15" s="81" t="s">
        <v>192</v>
      </c>
      <c r="B15" s="82" t="s">
        <v>175</v>
      </c>
      <c r="C15" s="83">
        <v>1</v>
      </c>
      <c r="D15" s="84" t="s">
        <v>194</v>
      </c>
    </row>
    <row r="16" spans="1:4" x14ac:dyDescent="0.35">
      <c r="A16" s="81" t="s">
        <v>192</v>
      </c>
      <c r="B16" s="82" t="s">
        <v>152</v>
      </c>
      <c r="C16" s="83">
        <v>1</v>
      </c>
      <c r="D16" s="84" t="s">
        <v>195</v>
      </c>
    </row>
    <row r="17" spans="1:4" s="72" customFormat="1" x14ac:dyDescent="0.35">
      <c r="A17" s="68"/>
      <c r="B17" s="69"/>
      <c r="C17" s="70"/>
      <c r="D17" s="71"/>
    </row>
    <row r="18" spans="1:4" s="72" customFormat="1" x14ac:dyDescent="0.35">
      <c r="A18" s="68"/>
      <c r="B18" s="69"/>
      <c r="C18" s="70"/>
      <c r="D18" s="71"/>
    </row>
    <row r="19" spans="1:4" s="72" customFormat="1" x14ac:dyDescent="0.35">
      <c r="A19" s="68"/>
      <c r="B19" s="69"/>
      <c r="C19" s="70"/>
      <c r="D19" s="71"/>
    </row>
    <row r="20" spans="1:4" s="72" customFormat="1" x14ac:dyDescent="0.35">
      <c r="A20" s="68"/>
      <c r="B20" s="69"/>
      <c r="C20" s="70"/>
      <c r="D20" s="71"/>
    </row>
    <row r="21" spans="1:4" s="72" customFormat="1" x14ac:dyDescent="0.35">
      <c r="A21" s="68"/>
      <c r="B21" s="69"/>
      <c r="C21" s="70"/>
      <c r="D21" s="71"/>
    </row>
    <row r="22" spans="1:4" s="72" customFormat="1" x14ac:dyDescent="0.35">
      <c r="A22" s="68"/>
      <c r="B22" s="69"/>
      <c r="C22" s="70"/>
      <c r="D22" s="71"/>
    </row>
    <row r="23" spans="1:4" s="72" customFormat="1" x14ac:dyDescent="0.35">
      <c r="A23" s="68"/>
      <c r="B23" s="69"/>
      <c r="C23" s="70"/>
      <c r="D23" s="71"/>
    </row>
    <row r="24" spans="1:4" s="72" customFormat="1" x14ac:dyDescent="0.35">
      <c r="A24" s="68"/>
      <c r="B24" s="69"/>
      <c r="C24" s="70"/>
      <c r="D24" s="71"/>
    </row>
    <row r="25" spans="1:4" s="72" customFormat="1" x14ac:dyDescent="0.35">
      <c r="A25" s="68"/>
      <c r="B25" s="69"/>
      <c r="C25" s="70"/>
      <c r="D25" s="71"/>
    </row>
    <row r="26" spans="1:4" s="72" customFormat="1" x14ac:dyDescent="0.35">
      <c r="A26" s="68"/>
      <c r="B26" s="69"/>
      <c r="C26" s="70"/>
      <c r="D26" s="71"/>
    </row>
    <row r="27" spans="1:4" s="72" customFormat="1" x14ac:dyDescent="0.35">
      <c r="A27" s="68"/>
      <c r="B27" s="69"/>
      <c r="C27" s="70"/>
      <c r="D27" s="71"/>
    </row>
    <row r="28" spans="1:4" x14ac:dyDescent="0.35">
      <c r="A28" s="68"/>
      <c r="B28" s="69"/>
      <c r="C28" s="70"/>
      <c r="D28" s="71"/>
    </row>
    <row r="29" spans="1:4" x14ac:dyDescent="0.35">
      <c r="A29" s="68"/>
      <c r="B29" s="69"/>
      <c r="C29" s="70"/>
      <c r="D29" s="71"/>
    </row>
    <row r="30" spans="1:4" x14ac:dyDescent="0.35">
      <c r="A30" s="68"/>
      <c r="B30" s="69"/>
      <c r="C30" s="70"/>
      <c r="D30" s="71"/>
    </row>
    <row r="31" spans="1:4" x14ac:dyDescent="0.35">
      <c r="A31" s="68"/>
      <c r="B31" s="69"/>
      <c r="C31" s="70"/>
      <c r="D31" s="71"/>
    </row>
    <row r="32" spans="1:4" x14ac:dyDescent="0.35">
      <c r="A32" s="68"/>
      <c r="B32" s="69"/>
      <c r="C32" s="70"/>
      <c r="D32" s="71"/>
    </row>
    <row r="33" spans="1:4" x14ac:dyDescent="0.35">
      <c r="A33" s="68"/>
      <c r="B33" s="69"/>
      <c r="C33" s="70"/>
      <c r="D33" s="71"/>
    </row>
    <row r="34" spans="1:4" x14ac:dyDescent="0.35">
      <c r="A34" s="68"/>
      <c r="B34" s="69"/>
      <c r="C34" s="70"/>
      <c r="D34" s="71"/>
    </row>
    <row r="35" spans="1:4" x14ac:dyDescent="0.35">
      <c r="A35" s="68"/>
      <c r="B35" s="69"/>
      <c r="C35" s="70"/>
      <c r="D35" s="71"/>
    </row>
    <row r="36" spans="1:4" x14ac:dyDescent="0.35">
      <c r="A36" s="68"/>
      <c r="B36" s="69"/>
      <c r="C36" s="70"/>
      <c r="D36" s="71"/>
    </row>
    <row r="37" spans="1:4" x14ac:dyDescent="0.35">
      <c r="A37" s="68"/>
      <c r="B37" s="69"/>
      <c r="C37" s="70"/>
      <c r="D37" s="71"/>
    </row>
    <row r="38" spans="1:4" x14ac:dyDescent="0.35">
      <c r="A38" s="68"/>
      <c r="B38" s="69"/>
      <c r="C38" s="70"/>
      <c r="D38" s="71"/>
    </row>
    <row r="39" spans="1:4" x14ac:dyDescent="0.35">
      <c r="A39" s="68"/>
      <c r="B39" s="69"/>
      <c r="C39" s="70"/>
      <c r="D39" s="71"/>
    </row>
    <row r="40" spans="1:4" x14ac:dyDescent="0.35">
      <c r="A40" s="68"/>
      <c r="B40" s="69"/>
      <c r="C40" s="70"/>
      <c r="D40" s="71"/>
    </row>
    <row r="41" spans="1:4" x14ac:dyDescent="0.35">
      <c r="A41" s="68"/>
      <c r="B41" s="69"/>
      <c r="C41" s="70"/>
      <c r="D41" s="71"/>
    </row>
    <row r="42" spans="1:4" x14ac:dyDescent="0.35">
      <c r="A42" s="68"/>
      <c r="B42" s="69"/>
      <c r="C42" s="70"/>
      <c r="D42" s="71"/>
    </row>
    <row r="43" spans="1:4" x14ac:dyDescent="0.35">
      <c r="A43" s="68"/>
      <c r="B43" s="69"/>
      <c r="C43" s="70"/>
      <c r="D43" s="71"/>
    </row>
    <row r="44" spans="1:4" x14ac:dyDescent="0.35">
      <c r="A44" s="68"/>
      <c r="B44" s="69"/>
      <c r="C44" s="70"/>
      <c r="D44" s="71"/>
    </row>
    <row r="45" spans="1:4" x14ac:dyDescent="0.35">
      <c r="A45" s="68"/>
      <c r="B45" s="69"/>
      <c r="C45" s="70"/>
      <c r="D45" s="71"/>
    </row>
    <row r="46" spans="1:4" x14ac:dyDescent="0.35">
      <c r="A46" s="68"/>
      <c r="B46" s="69"/>
      <c r="C46" s="70"/>
      <c r="D46" s="71"/>
    </row>
    <row r="47" spans="1:4" x14ac:dyDescent="0.35">
      <c r="A47" s="68"/>
      <c r="B47" s="69"/>
      <c r="C47" s="70"/>
      <c r="D47" s="71"/>
    </row>
    <row r="48" spans="1:4" x14ac:dyDescent="0.35">
      <c r="A48" s="68"/>
      <c r="B48" s="69"/>
      <c r="C48" s="70"/>
      <c r="D48" s="71"/>
    </row>
    <row r="49" spans="1:4" x14ac:dyDescent="0.35">
      <c r="A49" s="68"/>
      <c r="B49" s="69"/>
      <c r="C49" s="70"/>
      <c r="D49" s="71"/>
    </row>
    <row r="50" spans="1:4" x14ac:dyDescent="0.35">
      <c r="A50" s="68"/>
      <c r="B50" s="69"/>
      <c r="C50" s="70"/>
      <c r="D50" s="71"/>
    </row>
    <row r="51" spans="1:4" x14ac:dyDescent="0.35">
      <c r="A51" s="68"/>
      <c r="B51" s="69"/>
      <c r="C51" s="70"/>
      <c r="D51" s="71"/>
    </row>
    <row r="52" spans="1:4" x14ac:dyDescent="0.35">
      <c r="A52" s="68"/>
      <c r="B52" s="69"/>
      <c r="C52" s="70"/>
      <c r="D52" s="71"/>
    </row>
    <row r="53" spans="1:4" x14ac:dyDescent="0.35">
      <c r="A53" s="68"/>
      <c r="B53" s="69"/>
      <c r="C53" s="70"/>
      <c r="D53" s="71"/>
    </row>
    <row r="54" spans="1:4" x14ac:dyDescent="0.35">
      <c r="A54" s="68"/>
      <c r="B54" s="69"/>
      <c r="C54" s="70"/>
      <c r="D54" s="71"/>
    </row>
    <row r="55" spans="1:4" x14ac:dyDescent="0.35">
      <c r="A55" s="68"/>
      <c r="B55" s="69"/>
      <c r="C55" s="70"/>
      <c r="D55" s="71"/>
    </row>
    <row r="56" spans="1:4" x14ac:dyDescent="0.35">
      <c r="A56" s="68"/>
      <c r="B56" s="69"/>
      <c r="C56" s="70"/>
      <c r="D56" s="71"/>
    </row>
    <row r="57" spans="1:4" x14ac:dyDescent="0.35">
      <c r="A57" s="68"/>
      <c r="B57" s="69"/>
      <c r="C57" s="70"/>
      <c r="D57" s="71"/>
    </row>
    <row r="58" spans="1:4" x14ac:dyDescent="0.35">
      <c r="A58" s="68"/>
      <c r="B58" s="69"/>
      <c r="C58" s="70"/>
      <c r="D58" s="71"/>
    </row>
    <row r="59" spans="1:4" x14ac:dyDescent="0.35">
      <c r="A59" s="68"/>
      <c r="B59" s="69"/>
      <c r="C59" s="70"/>
      <c r="D59" s="71"/>
    </row>
    <row r="60" spans="1:4" x14ac:dyDescent="0.35">
      <c r="A60" s="68"/>
      <c r="B60" s="69"/>
      <c r="C60" s="70"/>
      <c r="D60" s="71"/>
    </row>
    <row r="61" spans="1:4" x14ac:dyDescent="0.35">
      <c r="A61" s="68"/>
      <c r="B61" s="69"/>
      <c r="C61" s="70"/>
      <c r="D61" s="71"/>
    </row>
    <row r="62" spans="1:4" x14ac:dyDescent="0.35">
      <c r="A62" s="68"/>
      <c r="B62" s="69"/>
      <c r="C62" s="70"/>
      <c r="D62" s="71"/>
    </row>
    <row r="63" spans="1:4" x14ac:dyDescent="0.35">
      <c r="A63" s="68"/>
      <c r="B63" s="69"/>
      <c r="C63" s="70"/>
      <c r="D63" s="71"/>
    </row>
    <row r="64" spans="1:4" x14ac:dyDescent="0.35">
      <c r="A64" s="68"/>
      <c r="B64" s="69"/>
      <c r="C64" s="70"/>
      <c r="D64" s="71"/>
    </row>
    <row r="65" spans="1:4" x14ac:dyDescent="0.35">
      <c r="A65" s="68"/>
      <c r="B65" s="69"/>
      <c r="C65" s="70"/>
      <c r="D65" s="71"/>
    </row>
    <row r="66" spans="1:4" x14ac:dyDescent="0.35">
      <c r="A66" s="68"/>
      <c r="B66" s="69"/>
      <c r="C66" s="70"/>
      <c r="D66" s="71"/>
    </row>
    <row r="67" spans="1:4" x14ac:dyDescent="0.35">
      <c r="A67" s="68"/>
      <c r="B67" s="69"/>
      <c r="C67" s="70"/>
      <c r="D67" s="71"/>
    </row>
    <row r="68" spans="1:4" x14ac:dyDescent="0.35">
      <c r="A68" s="68"/>
      <c r="B68" s="69"/>
      <c r="C68" s="70"/>
      <c r="D68" s="71"/>
    </row>
    <row r="69" spans="1:4" x14ac:dyDescent="0.35">
      <c r="A69" s="68"/>
      <c r="B69" s="69"/>
      <c r="C69" s="70"/>
      <c r="D69" s="71"/>
    </row>
    <row r="70" spans="1:4" x14ac:dyDescent="0.35">
      <c r="A70" s="68"/>
      <c r="B70" s="69"/>
      <c r="C70" s="70"/>
      <c r="D70" s="71"/>
    </row>
    <row r="71" spans="1:4" x14ac:dyDescent="0.35">
      <c r="A71" s="68"/>
      <c r="B71" s="69"/>
      <c r="C71" s="70"/>
      <c r="D71" s="71"/>
    </row>
    <row r="72" spans="1:4" x14ac:dyDescent="0.35">
      <c r="A72" s="68"/>
      <c r="B72" s="69"/>
      <c r="C72" s="70"/>
      <c r="D72" s="71"/>
    </row>
    <row r="73" spans="1:4" x14ac:dyDescent="0.35">
      <c r="A73" s="68"/>
      <c r="B73" s="69"/>
      <c r="C73" s="70"/>
      <c r="D73" s="71"/>
    </row>
    <row r="74" spans="1:4" x14ac:dyDescent="0.35">
      <c r="A74" s="68"/>
      <c r="B74" s="69"/>
      <c r="C74" s="70"/>
      <c r="D74" s="71"/>
    </row>
    <row r="75" spans="1:4" x14ac:dyDescent="0.35">
      <c r="A75" s="68"/>
      <c r="B75" s="69"/>
      <c r="C75" s="70"/>
      <c r="D75" s="71"/>
    </row>
    <row r="76" spans="1:4" x14ac:dyDescent="0.35">
      <c r="A76" s="68"/>
      <c r="B76" s="69"/>
      <c r="C76" s="70"/>
      <c r="D76" s="71"/>
    </row>
    <row r="77" spans="1:4" x14ac:dyDescent="0.35">
      <c r="A77" s="68"/>
      <c r="B77" s="69"/>
      <c r="C77" s="70"/>
      <c r="D77" s="71"/>
    </row>
    <row r="78" spans="1:4" x14ac:dyDescent="0.35">
      <c r="A78" s="68"/>
      <c r="B78" s="69"/>
      <c r="C78" s="70"/>
      <c r="D78" s="71"/>
    </row>
    <row r="79" spans="1:4" x14ac:dyDescent="0.35">
      <c r="A79" s="68"/>
      <c r="B79" s="69"/>
      <c r="C79" s="70"/>
      <c r="D79" s="71"/>
    </row>
    <row r="80" spans="1:4" x14ac:dyDescent="0.35">
      <c r="A80" s="68"/>
      <c r="B80" s="69"/>
      <c r="C80" s="70"/>
      <c r="D80" s="71"/>
    </row>
    <row r="81" spans="1:4" x14ac:dyDescent="0.35">
      <c r="A81" s="68"/>
      <c r="B81" s="69"/>
      <c r="C81" s="70"/>
      <c r="D81" s="71"/>
    </row>
    <row r="82" spans="1:4" x14ac:dyDescent="0.35">
      <c r="A82" s="68"/>
      <c r="B82" s="69"/>
      <c r="C82" s="70"/>
      <c r="D82" s="71"/>
    </row>
    <row r="83" spans="1:4" x14ac:dyDescent="0.35">
      <c r="A83" s="68"/>
      <c r="B83" s="69"/>
      <c r="C83" s="70"/>
      <c r="D83" s="71"/>
    </row>
    <row r="84" spans="1:4" x14ac:dyDescent="0.35">
      <c r="A84" s="68"/>
      <c r="B84" s="69"/>
      <c r="C84" s="70"/>
      <c r="D84" s="71"/>
    </row>
    <row r="85" spans="1:4" x14ac:dyDescent="0.35">
      <c r="A85" s="68"/>
      <c r="B85" s="69"/>
      <c r="C85" s="70"/>
      <c r="D85" s="71"/>
    </row>
    <row r="86" spans="1:4" x14ac:dyDescent="0.35">
      <c r="A86" s="68"/>
      <c r="B86" s="69"/>
      <c r="C86" s="70"/>
      <c r="D86" s="71"/>
    </row>
    <row r="87" spans="1:4" x14ac:dyDescent="0.35">
      <c r="A87" s="68"/>
      <c r="B87" s="69"/>
      <c r="C87" s="70"/>
      <c r="D87" s="71"/>
    </row>
    <row r="88" spans="1:4" x14ac:dyDescent="0.35">
      <c r="A88" s="68"/>
      <c r="B88" s="69"/>
      <c r="C88" s="70"/>
      <c r="D88" s="71"/>
    </row>
    <row r="89" spans="1:4" x14ac:dyDescent="0.35">
      <c r="A89" s="68"/>
      <c r="B89" s="69"/>
      <c r="C89" s="70"/>
      <c r="D89" s="71"/>
    </row>
    <row r="90" spans="1:4" x14ac:dyDescent="0.35">
      <c r="A90" s="68"/>
      <c r="B90" s="69"/>
      <c r="C90" s="70"/>
      <c r="D90" s="71"/>
    </row>
    <row r="91" spans="1:4" x14ac:dyDescent="0.35">
      <c r="A91" s="68"/>
      <c r="B91" s="69"/>
      <c r="C91" s="70"/>
      <c r="D91" s="71"/>
    </row>
    <row r="92" spans="1:4" x14ac:dyDescent="0.35">
      <c r="A92" s="68"/>
      <c r="B92" s="69"/>
      <c r="C92" s="70"/>
      <c r="D92" s="71"/>
    </row>
    <row r="93" spans="1:4" x14ac:dyDescent="0.35">
      <c r="A93" s="68"/>
      <c r="B93" s="69"/>
      <c r="C93" s="70"/>
      <c r="D93" s="71"/>
    </row>
    <row r="94" spans="1:4" x14ac:dyDescent="0.35">
      <c r="A94" s="68"/>
      <c r="B94" s="69"/>
      <c r="C94" s="70"/>
      <c r="D94" s="71"/>
    </row>
    <row r="95" spans="1:4" x14ac:dyDescent="0.35">
      <c r="A95" s="68"/>
      <c r="B95" s="69"/>
      <c r="C95" s="70"/>
      <c r="D95" s="71"/>
    </row>
    <row r="96" spans="1:4" x14ac:dyDescent="0.35">
      <c r="A96" s="68"/>
      <c r="B96" s="69"/>
      <c r="C96" s="70"/>
      <c r="D96" s="71"/>
    </row>
    <row r="97" spans="1:4" x14ac:dyDescent="0.35">
      <c r="A97" s="68"/>
      <c r="B97" s="69"/>
      <c r="C97" s="70"/>
      <c r="D97" s="71"/>
    </row>
    <row r="98" spans="1:4" x14ac:dyDescent="0.35">
      <c r="A98" s="68"/>
      <c r="B98" s="69"/>
      <c r="C98" s="70"/>
      <c r="D98" s="71"/>
    </row>
    <row r="99" spans="1:4" x14ac:dyDescent="0.35">
      <c r="A99" s="68"/>
      <c r="B99" s="69"/>
      <c r="C99" s="70"/>
      <c r="D99" s="71"/>
    </row>
    <row r="100" spans="1:4" x14ac:dyDescent="0.35">
      <c r="A100" s="68"/>
      <c r="B100" s="69"/>
      <c r="C100" s="70"/>
      <c r="D100" s="71"/>
    </row>
    <row r="101" spans="1:4" x14ac:dyDescent="0.35">
      <c r="A101" s="68"/>
      <c r="B101" s="69"/>
      <c r="C101" s="70"/>
      <c r="D101" s="71"/>
    </row>
    <row r="102" spans="1:4" x14ac:dyDescent="0.35">
      <c r="A102" s="68"/>
      <c r="B102" s="69"/>
      <c r="C102" s="70"/>
      <c r="D102" s="71"/>
    </row>
    <row r="103" spans="1:4" x14ac:dyDescent="0.35">
      <c r="A103" s="68"/>
      <c r="B103" s="69"/>
      <c r="C103" s="70"/>
      <c r="D103" s="71"/>
    </row>
    <row r="104" spans="1:4" x14ac:dyDescent="0.35">
      <c r="A104" s="68"/>
      <c r="B104" s="69"/>
      <c r="C104" s="70"/>
      <c r="D104" s="71"/>
    </row>
    <row r="105" spans="1:4" x14ac:dyDescent="0.35">
      <c r="A105" s="68"/>
      <c r="B105" s="69"/>
      <c r="C105" s="70"/>
      <c r="D105" s="71"/>
    </row>
    <row r="106" spans="1:4" x14ac:dyDescent="0.35">
      <c r="A106" s="68"/>
      <c r="B106" s="69"/>
      <c r="C106" s="70"/>
      <c r="D106" s="71"/>
    </row>
    <row r="107" spans="1:4" x14ac:dyDescent="0.35">
      <c r="A107" s="68"/>
      <c r="B107" s="69"/>
      <c r="C107" s="70"/>
      <c r="D107" s="71"/>
    </row>
    <row r="108" spans="1:4" x14ac:dyDescent="0.35">
      <c r="A108" s="68"/>
      <c r="B108" s="69"/>
      <c r="C108" s="70"/>
      <c r="D108" s="71"/>
    </row>
    <row r="109" spans="1:4" x14ac:dyDescent="0.35">
      <c r="A109" s="68"/>
      <c r="B109" s="69"/>
      <c r="C109" s="70"/>
      <c r="D109" s="71"/>
    </row>
    <row r="110" spans="1:4" x14ac:dyDescent="0.35">
      <c r="A110" s="68"/>
      <c r="B110" s="69"/>
      <c r="C110" s="70"/>
      <c r="D110" s="71"/>
    </row>
    <row r="111" spans="1:4" x14ac:dyDescent="0.35">
      <c r="A111" s="68"/>
      <c r="B111" s="69"/>
      <c r="C111" s="70"/>
      <c r="D111" s="71"/>
    </row>
    <row r="112" spans="1:4" x14ac:dyDescent="0.35">
      <c r="A112" s="68"/>
      <c r="B112" s="69"/>
      <c r="C112" s="70"/>
      <c r="D112" s="71"/>
    </row>
    <row r="113" spans="1:4" x14ac:dyDescent="0.35">
      <c r="A113" s="68"/>
      <c r="B113" s="69"/>
      <c r="C113" s="70"/>
      <c r="D113" s="71"/>
    </row>
    <row r="114" spans="1:4" x14ac:dyDescent="0.35">
      <c r="A114" s="68"/>
      <c r="B114" s="69"/>
      <c r="C114" s="70"/>
      <c r="D114" s="71"/>
    </row>
    <row r="115" spans="1:4" x14ac:dyDescent="0.35">
      <c r="A115" s="68"/>
      <c r="B115" s="69"/>
      <c r="C115" s="70"/>
      <c r="D115" s="71"/>
    </row>
    <row r="116" spans="1:4" x14ac:dyDescent="0.35">
      <c r="A116" s="68"/>
      <c r="B116" s="69"/>
      <c r="C116" s="70"/>
      <c r="D116" s="71"/>
    </row>
    <row r="117" spans="1:4" x14ac:dyDescent="0.35">
      <c r="A117" s="68"/>
      <c r="B117" s="69"/>
      <c r="C117" s="70"/>
      <c r="D117" s="71"/>
    </row>
    <row r="118" spans="1:4" x14ac:dyDescent="0.35">
      <c r="A118" s="68"/>
      <c r="B118" s="69"/>
      <c r="C118" s="70"/>
      <c r="D118" s="71"/>
    </row>
    <row r="119" spans="1:4" x14ac:dyDescent="0.35">
      <c r="A119" s="68"/>
      <c r="B119" s="69"/>
      <c r="C119" s="70"/>
      <c r="D119" s="71"/>
    </row>
    <row r="120" spans="1:4" x14ac:dyDescent="0.35">
      <c r="A120" s="68"/>
      <c r="B120" s="69"/>
      <c r="C120" s="70"/>
      <c r="D120" s="71"/>
    </row>
    <row r="121" spans="1:4" x14ac:dyDescent="0.35">
      <c r="A121" s="68"/>
      <c r="B121" s="69"/>
      <c r="C121" s="70"/>
      <c r="D121" s="71"/>
    </row>
    <row r="122" spans="1:4" x14ac:dyDescent="0.35">
      <c r="A122" s="68"/>
      <c r="B122" s="69"/>
      <c r="C122" s="70"/>
      <c r="D122" s="71"/>
    </row>
    <row r="123" spans="1:4" x14ac:dyDescent="0.35">
      <c r="A123" s="68"/>
      <c r="B123" s="69"/>
      <c r="C123" s="70"/>
      <c r="D123" s="71"/>
    </row>
    <row r="124" spans="1:4" x14ac:dyDescent="0.35">
      <c r="A124" s="68"/>
      <c r="B124" s="69"/>
      <c r="C124" s="70"/>
      <c r="D124" s="71"/>
    </row>
    <row r="125" spans="1:4" x14ac:dyDescent="0.35">
      <c r="A125" s="68"/>
      <c r="B125" s="69"/>
      <c r="C125" s="70"/>
      <c r="D125" s="71"/>
    </row>
    <row r="126" spans="1:4" x14ac:dyDescent="0.35">
      <c r="A126" s="68"/>
      <c r="B126" s="69"/>
      <c r="C126" s="70"/>
      <c r="D126" s="71"/>
    </row>
    <row r="127" spans="1:4" x14ac:dyDescent="0.35">
      <c r="A127" s="68"/>
      <c r="B127" s="69"/>
      <c r="C127" s="70"/>
      <c r="D127" s="71"/>
    </row>
    <row r="128" spans="1:4" x14ac:dyDescent="0.35">
      <c r="A128" s="68"/>
      <c r="B128" s="69"/>
      <c r="C128" s="70"/>
      <c r="D128" s="71"/>
    </row>
    <row r="129" spans="1:4" x14ac:dyDescent="0.35">
      <c r="A129" s="68"/>
      <c r="B129" s="69"/>
      <c r="C129" s="70"/>
      <c r="D129" s="71"/>
    </row>
    <row r="130" spans="1:4" x14ac:dyDescent="0.35">
      <c r="A130" s="68"/>
      <c r="B130" s="69"/>
      <c r="C130" s="70"/>
      <c r="D130" s="71"/>
    </row>
    <row r="131" spans="1:4" x14ac:dyDescent="0.35">
      <c r="A131" s="68"/>
      <c r="B131" s="69"/>
      <c r="C131" s="70"/>
      <c r="D131" s="71"/>
    </row>
    <row r="132" spans="1:4" x14ac:dyDescent="0.35">
      <c r="A132" s="68"/>
      <c r="B132" s="69"/>
      <c r="C132" s="70"/>
      <c r="D132" s="71"/>
    </row>
    <row r="133" spans="1:4" x14ac:dyDescent="0.35">
      <c r="A133" s="68"/>
      <c r="B133" s="69"/>
      <c r="C133" s="70"/>
      <c r="D133" s="71"/>
    </row>
    <row r="134" spans="1:4" x14ac:dyDescent="0.35">
      <c r="A134" s="68"/>
      <c r="B134" s="69"/>
      <c r="C134" s="70"/>
      <c r="D134" s="71"/>
    </row>
    <row r="135" spans="1:4" x14ac:dyDescent="0.35">
      <c r="A135" s="68"/>
      <c r="B135" s="69"/>
      <c r="C135" s="70"/>
      <c r="D135" s="71"/>
    </row>
    <row r="136" spans="1:4" x14ac:dyDescent="0.35">
      <c r="A136" s="68"/>
      <c r="B136" s="69"/>
      <c r="C136" s="70"/>
      <c r="D136" s="71"/>
    </row>
    <row r="137" spans="1:4" x14ac:dyDescent="0.35">
      <c r="A137" s="68"/>
      <c r="B137" s="69"/>
      <c r="C137" s="70"/>
      <c r="D137" s="71"/>
    </row>
    <row r="138" spans="1:4" x14ac:dyDescent="0.35">
      <c r="A138" s="68"/>
      <c r="B138" s="69"/>
      <c r="C138" s="70"/>
      <c r="D138" s="71"/>
    </row>
    <row r="139" spans="1:4" x14ac:dyDescent="0.35">
      <c r="A139" s="68"/>
      <c r="B139" s="69"/>
      <c r="C139" s="70"/>
      <c r="D139" s="71"/>
    </row>
    <row r="140" spans="1:4" x14ac:dyDescent="0.35">
      <c r="A140" s="68"/>
      <c r="B140" s="69"/>
      <c r="C140" s="70"/>
      <c r="D140" s="71"/>
    </row>
    <row r="141" spans="1:4" x14ac:dyDescent="0.35">
      <c r="A141" s="68"/>
      <c r="B141" s="69"/>
      <c r="C141" s="70"/>
      <c r="D141" s="71"/>
    </row>
    <row r="142" spans="1:4" x14ac:dyDescent="0.35">
      <c r="A142" s="68"/>
      <c r="B142" s="69"/>
      <c r="C142" s="70"/>
      <c r="D142" s="71"/>
    </row>
    <row r="143" spans="1:4" x14ac:dyDescent="0.35">
      <c r="A143" s="68"/>
      <c r="B143" s="69"/>
      <c r="C143" s="70"/>
      <c r="D143" s="71"/>
    </row>
    <row r="144" spans="1:4" x14ac:dyDescent="0.35">
      <c r="A144" s="68"/>
      <c r="B144" s="69"/>
      <c r="C144" s="70"/>
      <c r="D144" s="71"/>
    </row>
    <row r="145" spans="1:4" x14ac:dyDescent="0.35">
      <c r="A145" s="68"/>
      <c r="B145" s="69"/>
      <c r="C145" s="70"/>
      <c r="D145" s="71"/>
    </row>
    <row r="146" spans="1:4" x14ac:dyDescent="0.35">
      <c r="A146" s="68"/>
      <c r="B146" s="69"/>
      <c r="C146" s="70"/>
      <c r="D146" s="71"/>
    </row>
    <row r="147" spans="1:4" x14ac:dyDescent="0.35">
      <c r="A147" s="68"/>
      <c r="B147" s="69"/>
      <c r="C147" s="70"/>
      <c r="D147" s="71"/>
    </row>
    <row r="148" spans="1:4" x14ac:dyDescent="0.35">
      <c r="A148" s="68"/>
      <c r="B148" s="69"/>
      <c r="C148" s="70"/>
      <c r="D148" s="71"/>
    </row>
    <row r="149" spans="1:4" x14ac:dyDescent="0.35">
      <c r="A149" s="68"/>
      <c r="B149" s="69"/>
      <c r="C149" s="70"/>
      <c r="D149" s="71"/>
    </row>
    <row r="150" spans="1:4" x14ac:dyDescent="0.35">
      <c r="A150" s="68"/>
      <c r="B150" s="69"/>
      <c r="C150" s="70"/>
      <c r="D150" s="71"/>
    </row>
    <row r="151" spans="1:4" x14ac:dyDescent="0.35">
      <c r="A151" s="68"/>
      <c r="B151" s="69"/>
      <c r="C151" s="70"/>
      <c r="D151" s="71"/>
    </row>
    <row r="152" spans="1:4" x14ac:dyDescent="0.35">
      <c r="A152" s="68"/>
      <c r="B152" s="69"/>
      <c r="C152" s="70"/>
      <c r="D152" s="71"/>
    </row>
    <row r="153" spans="1:4" x14ac:dyDescent="0.35">
      <c r="A153" s="68"/>
      <c r="B153" s="69"/>
      <c r="C153" s="70"/>
      <c r="D153" s="71"/>
    </row>
    <row r="154" spans="1:4" x14ac:dyDescent="0.35">
      <c r="A154" s="68"/>
      <c r="B154" s="69"/>
      <c r="C154" s="70"/>
      <c r="D154" s="71"/>
    </row>
    <row r="155" spans="1:4" x14ac:dyDescent="0.35">
      <c r="A155" s="68"/>
      <c r="B155" s="69"/>
      <c r="C155" s="70"/>
      <c r="D155" s="71"/>
    </row>
    <row r="156" spans="1:4" x14ac:dyDescent="0.35">
      <c r="A156" s="68"/>
      <c r="B156" s="69"/>
      <c r="C156" s="70"/>
      <c r="D156" s="71"/>
    </row>
    <row r="157" spans="1:4" x14ac:dyDescent="0.35">
      <c r="A157" s="68"/>
      <c r="B157" s="69"/>
      <c r="C157" s="70"/>
      <c r="D157" s="71"/>
    </row>
    <row r="158" spans="1:4" x14ac:dyDescent="0.35">
      <c r="A158" s="68"/>
      <c r="B158" s="69"/>
      <c r="C158" s="70"/>
      <c r="D158" s="71"/>
    </row>
    <row r="159" spans="1:4" x14ac:dyDescent="0.35">
      <c r="A159" s="68"/>
      <c r="B159" s="69"/>
      <c r="C159" s="70"/>
      <c r="D159" s="71"/>
    </row>
    <row r="160" spans="1:4" x14ac:dyDescent="0.35">
      <c r="A160" s="68"/>
      <c r="B160" s="69"/>
      <c r="C160" s="70"/>
      <c r="D160" s="71"/>
    </row>
    <row r="161" spans="1:4" x14ac:dyDescent="0.35">
      <c r="A161" s="68"/>
      <c r="B161" s="69"/>
      <c r="C161" s="70"/>
      <c r="D161" s="71"/>
    </row>
    <row r="162" spans="1:4" x14ac:dyDescent="0.35">
      <c r="A162" s="68"/>
      <c r="B162" s="69"/>
      <c r="C162" s="70"/>
      <c r="D162" s="71"/>
    </row>
    <row r="163" spans="1:4" x14ac:dyDescent="0.35">
      <c r="A163" s="68"/>
      <c r="B163" s="69"/>
      <c r="C163" s="70"/>
      <c r="D163" s="71"/>
    </row>
    <row r="164" spans="1:4" x14ac:dyDescent="0.35">
      <c r="A164" s="68"/>
      <c r="B164" s="69"/>
      <c r="C164" s="70"/>
      <c r="D164" s="71"/>
    </row>
    <row r="165" spans="1:4" x14ac:dyDescent="0.35">
      <c r="A165" s="68"/>
      <c r="B165" s="69"/>
      <c r="C165" s="70"/>
      <c r="D165" s="71"/>
    </row>
    <row r="166" spans="1:4" x14ac:dyDescent="0.35">
      <c r="A166" s="68"/>
      <c r="B166" s="69"/>
      <c r="C166" s="70"/>
      <c r="D166" s="71"/>
    </row>
    <row r="167" spans="1:4" x14ac:dyDescent="0.35">
      <c r="A167" s="68"/>
      <c r="B167" s="69"/>
      <c r="C167" s="70"/>
      <c r="D167" s="71"/>
    </row>
    <row r="168" spans="1:4" x14ac:dyDescent="0.35">
      <c r="A168" s="68"/>
      <c r="B168" s="69"/>
      <c r="C168" s="70"/>
      <c r="D168" s="71"/>
    </row>
    <row r="169" spans="1:4" x14ac:dyDescent="0.35">
      <c r="A169" s="68"/>
      <c r="B169" s="69"/>
      <c r="C169" s="70"/>
      <c r="D169" s="71"/>
    </row>
    <row r="170" spans="1:4" x14ac:dyDescent="0.35">
      <c r="A170" s="68"/>
      <c r="B170" s="69"/>
      <c r="C170" s="70"/>
      <c r="D170" s="71"/>
    </row>
    <row r="171" spans="1:4" x14ac:dyDescent="0.35">
      <c r="A171" s="68"/>
      <c r="B171" s="69"/>
      <c r="C171" s="70"/>
      <c r="D171" s="71"/>
    </row>
    <row r="172" spans="1:4" x14ac:dyDescent="0.35">
      <c r="A172" s="68"/>
      <c r="B172" s="69"/>
      <c r="C172" s="70"/>
      <c r="D172" s="71"/>
    </row>
    <row r="173" spans="1:4" x14ac:dyDescent="0.35">
      <c r="A173" s="68"/>
      <c r="B173" s="69"/>
      <c r="C173" s="70"/>
      <c r="D173" s="71"/>
    </row>
    <row r="174" spans="1:4" x14ac:dyDescent="0.35">
      <c r="A174" s="68"/>
      <c r="B174" s="69"/>
      <c r="C174" s="70"/>
      <c r="D174" s="71"/>
    </row>
    <row r="175" spans="1:4" x14ac:dyDescent="0.35">
      <c r="A175" s="68"/>
      <c r="B175" s="69"/>
      <c r="C175" s="70"/>
      <c r="D175" s="71"/>
    </row>
    <row r="176" spans="1:4" x14ac:dyDescent="0.35">
      <c r="A176" s="68"/>
      <c r="B176" s="69"/>
      <c r="C176" s="70"/>
      <c r="D176" s="71"/>
    </row>
    <row r="177" spans="1:4" x14ac:dyDescent="0.35">
      <c r="A177" s="68"/>
      <c r="B177" s="69"/>
      <c r="C177" s="70"/>
      <c r="D177" s="71"/>
    </row>
    <row r="178" spans="1:4" x14ac:dyDescent="0.35">
      <c r="A178" s="68"/>
      <c r="B178" s="69"/>
      <c r="C178" s="70"/>
      <c r="D178" s="71"/>
    </row>
    <row r="179" spans="1:4" x14ac:dyDescent="0.35">
      <c r="A179" s="68"/>
      <c r="B179" s="69"/>
      <c r="C179" s="70"/>
      <c r="D179" s="71"/>
    </row>
    <row r="180" spans="1:4" x14ac:dyDescent="0.35">
      <c r="A180" s="68"/>
      <c r="B180" s="69"/>
      <c r="C180" s="70"/>
      <c r="D180" s="71"/>
    </row>
    <row r="181" spans="1:4" x14ac:dyDescent="0.35">
      <c r="A181" s="68"/>
      <c r="B181" s="69"/>
      <c r="C181" s="70"/>
      <c r="D181" s="71"/>
    </row>
    <row r="182" spans="1:4" x14ac:dyDescent="0.35">
      <c r="A182" s="68"/>
      <c r="B182" s="69"/>
      <c r="C182" s="70"/>
      <c r="D182" s="71"/>
    </row>
    <row r="183" spans="1:4" x14ac:dyDescent="0.35">
      <c r="A183" s="68"/>
      <c r="B183" s="69"/>
      <c r="C183" s="70"/>
      <c r="D183" s="71"/>
    </row>
    <row r="184" spans="1:4" x14ac:dyDescent="0.35">
      <c r="A184" s="68"/>
      <c r="B184" s="69"/>
      <c r="C184" s="70"/>
      <c r="D184" s="71"/>
    </row>
    <row r="185" spans="1:4" x14ac:dyDescent="0.35">
      <c r="A185" s="68"/>
      <c r="B185" s="69"/>
      <c r="C185" s="70"/>
      <c r="D185" s="71"/>
    </row>
    <row r="186" spans="1:4" x14ac:dyDescent="0.35">
      <c r="A186" s="68"/>
      <c r="B186" s="69"/>
      <c r="C186" s="70"/>
      <c r="D186" s="71"/>
    </row>
    <row r="187" spans="1:4" x14ac:dyDescent="0.35">
      <c r="A187" s="68"/>
      <c r="B187" s="69"/>
      <c r="C187" s="70"/>
      <c r="D187" s="71"/>
    </row>
    <row r="188" spans="1:4" x14ac:dyDescent="0.35">
      <c r="A188" s="68"/>
      <c r="B188" s="69"/>
      <c r="C188" s="70"/>
      <c r="D188" s="71"/>
    </row>
    <row r="189" spans="1:4" x14ac:dyDescent="0.35">
      <c r="A189" s="68"/>
      <c r="B189" s="69"/>
      <c r="C189" s="70"/>
      <c r="D189" s="71"/>
    </row>
    <row r="190" spans="1:4" x14ac:dyDescent="0.35">
      <c r="A190" s="68"/>
      <c r="B190" s="69"/>
      <c r="C190" s="70"/>
      <c r="D190" s="71"/>
    </row>
    <row r="191" spans="1:4" x14ac:dyDescent="0.35">
      <c r="A191" s="68"/>
      <c r="B191" s="69"/>
      <c r="C191" s="70"/>
      <c r="D191" s="71"/>
    </row>
    <row r="192" spans="1:4" x14ac:dyDescent="0.35">
      <c r="A192" s="68"/>
      <c r="B192" s="69"/>
      <c r="C192" s="70"/>
      <c r="D192" s="71"/>
    </row>
    <row r="193" spans="1:4" x14ac:dyDescent="0.35">
      <c r="A193" s="68"/>
      <c r="B193" s="69"/>
      <c r="C193" s="70"/>
      <c r="D193" s="71"/>
    </row>
    <row r="194" spans="1:4" x14ac:dyDescent="0.35">
      <c r="A194" s="68"/>
      <c r="B194" s="69"/>
      <c r="C194" s="70"/>
      <c r="D194" s="71"/>
    </row>
    <row r="195" spans="1:4" x14ac:dyDescent="0.35">
      <c r="A195" s="68"/>
      <c r="B195" s="69"/>
      <c r="C195" s="70"/>
      <c r="D195" s="71"/>
    </row>
    <row r="196" spans="1:4" x14ac:dyDescent="0.35">
      <c r="A196" s="68"/>
      <c r="B196" s="69"/>
      <c r="C196" s="70"/>
      <c r="D196" s="71"/>
    </row>
    <row r="197" spans="1:4" x14ac:dyDescent="0.35">
      <c r="A197" s="68"/>
      <c r="B197" s="69"/>
      <c r="C197" s="70"/>
      <c r="D197" s="71"/>
    </row>
    <row r="198" spans="1:4" x14ac:dyDescent="0.35">
      <c r="A198" s="68"/>
      <c r="B198" s="69"/>
      <c r="C198" s="70"/>
      <c r="D198" s="71"/>
    </row>
    <row r="199" spans="1:4" x14ac:dyDescent="0.35">
      <c r="A199" s="68"/>
      <c r="B199" s="69"/>
      <c r="C199" s="70"/>
      <c r="D199" s="71"/>
    </row>
    <row r="200" spans="1:4" x14ac:dyDescent="0.35">
      <c r="A200" s="68"/>
      <c r="B200" s="69"/>
      <c r="C200" s="70"/>
      <c r="D200" s="71"/>
    </row>
    <row r="201" spans="1:4" x14ac:dyDescent="0.35">
      <c r="A201" s="68"/>
      <c r="B201" s="69"/>
      <c r="C201" s="70"/>
      <c r="D201" s="71"/>
    </row>
    <row r="202" spans="1:4" x14ac:dyDescent="0.35">
      <c r="A202" s="68"/>
      <c r="B202" s="69"/>
      <c r="C202" s="70"/>
      <c r="D202" s="71"/>
    </row>
    <row r="203" spans="1:4" x14ac:dyDescent="0.35">
      <c r="A203" s="68"/>
      <c r="B203" s="69"/>
      <c r="C203" s="70"/>
      <c r="D203" s="71"/>
    </row>
    <row r="204" spans="1:4" x14ac:dyDescent="0.35">
      <c r="A204" s="68"/>
      <c r="B204" s="69"/>
      <c r="C204" s="70"/>
      <c r="D204" s="71"/>
    </row>
    <row r="205" spans="1:4" x14ac:dyDescent="0.35">
      <c r="A205" s="68"/>
      <c r="B205" s="69"/>
      <c r="C205" s="70"/>
      <c r="D205" s="71"/>
    </row>
    <row r="206" spans="1:4" x14ac:dyDescent="0.35">
      <c r="A206" s="68"/>
      <c r="B206" s="69"/>
      <c r="C206" s="70"/>
      <c r="D206" s="71"/>
    </row>
    <row r="207" spans="1:4" x14ac:dyDescent="0.35">
      <c r="A207" s="68"/>
      <c r="B207" s="69"/>
      <c r="C207" s="70"/>
      <c r="D207" s="71"/>
    </row>
    <row r="208" spans="1:4" x14ac:dyDescent="0.35">
      <c r="A208" s="68"/>
      <c r="B208" s="69"/>
      <c r="C208" s="70"/>
      <c r="D208" s="71"/>
    </row>
    <row r="209" spans="1:4" x14ac:dyDescent="0.35">
      <c r="A209" s="68"/>
      <c r="B209" s="69"/>
      <c r="C209" s="70"/>
      <c r="D209" s="71"/>
    </row>
    <row r="210" spans="1:4" x14ac:dyDescent="0.35">
      <c r="A210" s="68"/>
      <c r="B210" s="69"/>
      <c r="C210" s="70"/>
      <c r="D210" s="71"/>
    </row>
    <row r="211" spans="1:4" x14ac:dyDescent="0.35">
      <c r="A211" s="68"/>
      <c r="B211" s="69"/>
      <c r="C211" s="70"/>
      <c r="D211" s="71"/>
    </row>
    <row r="212" spans="1:4" x14ac:dyDescent="0.35">
      <c r="A212" s="68"/>
      <c r="B212" s="69"/>
      <c r="C212" s="70"/>
      <c r="D212" s="71"/>
    </row>
    <row r="213" spans="1:4" x14ac:dyDescent="0.35">
      <c r="A213" s="68"/>
      <c r="B213" s="69"/>
      <c r="C213" s="70"/>
      <c r="D213" s="71"/>
    </row>
    <row r="214" spans="1:4" x14ac:dyDescent="0.35">
      <c r="A214" s="68"/>
      <c r="B214" s="69"/>
      <c r="C214" s="70"/>
      <c r="D214" s="71"/>
    </row>
    <row r="215" spans="1:4" x14ac:dyDescent="0.35">
      <c r="A215" s="68"/>
      <c r="B215" s="69"/>
      <c r="C215" s="70"/>
      <c r="D215" s="71"/>
    </row>
    <row r="216" spans="1:4" x14ac:dyDescent="0.35">
      <c r="A216" s="68"/>
      <c r="B216" s="69"/>
      <c r="C216" s="70"/>
      <c r="D216" s="71"/>
    </row>
    <row r="217" spans="1:4" x14ac:dyDescent="0.35">
      <c r="A217" s="68"/>
      <c r="B217" s="69"/>
      <c r="C217" s="70"/>
      <c r="D217" s="71"/>
    </row>
    <row r="218" spans="1:4" x14ac:dyDescent="0.35">
      <c r="A218" s="68"/>
      <c r="B218" s="69"/>
      <c r="C218" s="70"/>
      <c r="D218" s="71"/>
    </row>
    <row r="219" spans="1:4" x14ac:dyDescent="0.35">
      <c r="A219" s="68"/>
      <c r="B219" s="69"/>
      <c r="C219" s="70"/>
      <c r="D219" s="71"/>
    </row>
    <row r="220" spans="1:4" x14ac:dyDescent="0.35">
      <c r="A220" s="68"/>
      <c r="B220" s="69"/>
      <c r="C220" s="70"/>
      <c r="D220" s="71"/>
    </row>
    <row r="221" spans="1:4" x14ac:dyDescent="0.35">
      <c r="A221" s="68"/>
      <c r="B221" s="69"/>
      <c r="C221" s="70"/>
      <c r="D221" s="71"/>
    </row>
    <row r="222" spans="1:4" x14ac:dyDescent="0.35">
      <c r="A222" s="68"/>
      <c r="B222" s="69"/>
      <c r="C222" s="70"/>
      <c r="D222" s="71"/>
    </row>
    <row r="223" spans="1:4" x14ac:dyDescent="0.35">
      <c r="A223" s="68"/>
      <c r="B223" s="69"/>
      <c r="C223" s="70"/>
      <c r="D223" s="71"/>
    </row>
    <row r="224" spans="1:4" x14ac:dyDescent="0.35">
      <c r="A224" s="68"/>
      <c r="B224" s="69"/>
      <c r="C224" s="70"/>
      <c r="D224" s="71"/>
    </row>
    <row r="225" spans="1:4" x14ac:dyDescent="0.35">
      <c r="A225" s="68"/>
      <c r="B225" s="69"/>
      <c r="C225" s="70"/>
      <c r="D225" s="71"/>
    </row>
    <row r="226" spans="1:4" x14ac:dyDescent="0.35">
      <c r="A226" s="68"/>
      <c r="B226" s="69"/>
      <c r="C226" s="70"/>
      <c r="D226" s="71"/>
    </row>
    <row r="227" spans="1:4" x14ac:dyDescent="0.35">
      <c r="A227" s="68"/>
      <c r="B227" s="69"/>
      <c r="C227" s="70"/>
      <c r="D227" s="71"/>
    </row>
    <row r="228" spans="1:4" x14ac:dyDescent="0.35">
      <c r="A228" s="68"/>
      <c r="B228" s="69"/>
      <c r="C228" s="70"/>
      <c r="D228" s="71"/>
    </row>
    <row r="229" spans="1:4" x14ac:dyDescent="0.35">
      <c r="A229" s="68"/>
      <c r="B229" s="69"/>
      <c r="C229" s="70"/>
      <c r="D229" s="71"/>
    </row>
    <row r="230" spans="1:4" x14ac:dyDescent="0.35">
      <c r="A230" s="68"/>
      <c r="B230" s="69"/>
      <c r="C230" s="70"/>
      <c r="D230" s="71"/>
    </row>
    <row r="231" spans="1:4" x14ac:dyDescent="0.35">
      <c r="A231" s="68"/>
      <c r="B231" s="69"/>
      <c r="C231" s="70"/>
      <c r="D231" s="71"/>
    </row>
    <row r="232" spans="1:4" x14ac:dyDescent="0.35">
      <c r="A232" s="68"/>
      <c r="B232" s="69"/>
      <c r="C232" s="70"/>
      <c r="D232" s="71"/>
    </row>
    <row r="233" spans="1:4" x14ac:dyDescent="0.35">
      <c r="A233" s="68"/>
      <c r="B233" s="69"/>
      <c r="C233" s="70"/>
      <c r="D233" s="71"/>
    </row>
    <row r="234" spans="1:4" x14ac:dyDescent="0.35">
      <c r="A234" s="68"/>
      <c r="B234" s="69"/>
      <c r="C234" s="70"/>
      <c r="D234" s="71"/>
    </row>
    <row r="235" spans="1:4" x14ac:dyDescent="0.35">
      <c r="A235" s="68"/>
      <c r="B235" s="69"/>
      <c r="C235" s="70"/>
      <c r="D235" s="71"/>
    </row>
    <row r="236" spans="1:4" x14ac:dyDescent="0.35">
      <c r="A236" s="68"/>
      <c r="B236" s="69"/>
      <c r="C236" s="70"/>
      <c r="D236" s="71"/>
    </row>
    <row r="237" spans="1:4" x14ac:dyDescent="0.35">
      <c r="A237" s="68"/>
      <c r="B237" s="69"/>
      <c r="C237" s="70"/>
      <c r="D237" s="71"/>
    </row>
    <row r="238" spans="1:4" x14ac:dyDescent="0.35">
      <c r="A238" s="68"/>
      <c r="B238" s="69"/>
      <c r="C238" s="70"/>
      <c r="D238" s="71"/>
    </row>
    <row r="239" spans="1:4" x14ac:dyDescent="0.35">
      <c r="A239" s="68"/>
      <c r="B239" s="69"/>
      <c r="C239" s="70"/>
      <c r="D239" s="71"/>
    </row>
    <row r="240" spans="1:4" x14ac:dyDescent="0.35">
      <c r="A240" s="68"/>
      <c r="B240" s="69"/>
      <c r="C240" s="70"/>
      <c r="D240" s="71"/>
    </row>
    <row r="241" spans="1:4" x14ac:dyDescent="0.35">
      <c r="A241" s="68"/>
      <c r="B241" s="69"/>
      <c r="C241" s="70"/>
      <c r="D241" s="71"/>
    </row>
    <row r="242" spans="1:4" x14ac:dyDescent="0.35">
      <c r="A242" s="68"/>
      <c r="B242" s="69"/>
      <c r="C242" s="70"/>
      <c r="D242" s="71"/>
    </row>
    <row r="243" spans="1:4" x14ac:dyDescent="0.35">
      <c r="A243" s="68"/>
      <c r="B243" s="69"/>
      <c r="C243" s="70"/>
      <c r="D243" s="71"/>
    </row>
    <row r="244" spans="1:4" x14ac:dyDescent="0.35">
      <c r="A244" s="68"/>
      <c r="B244" s="69"/>
      <c r="C244" s="70"/>
      <c r="D244" s="71"/>
    </row>
    <row r="245" spans="1:4" x14ac:dyDescent="0.35">
      <c r="A245" s="68"/>
      <c r="B245" s="69"/>
      <c r="C245" s="70"/>
      <c r="D245" s="71"/>
    </row>
    <row r="246" spans="1:4" x14ac:dyDescent="0.35">
      <c r="A246" s="68"/>
      <c r="B246" s="69"/>
      <c r="C246" s="70"/>
      <c r="D246" s="71"/>
    </row>
    <row r="247" spans="1:4" x14ac:dyDescent="0.35">
      <c r="A247" s="68"/>
      <c r="B247" s="69"/>
      <c r="C247" s="70"/>
      <c r="D247" s="71"/>
    </row>
    <row r="248" spans="1:4" x14ac:dyDescent="0.35">
      <c r="A248" s="68"/>
      <c r="B248" s="69"/>
      <c r="C248" s="70"/>
      <c r="D248" s="71"/>
    </row>
    <row r="249" spans="1:4" x14ac:dyDescent="0.35">
      <c r="A249" s="68"/>
      <c r="B249" s="69"/>
      <c r="C249" s="70"/>
      <c r="D249" s="71"/>
    </row>
    <row r="250" spans="1:4" x14ac:dyDescent="0.35">
      <c r="A250" s="68"/>
      <c r="B250" s="69"/>
      <c r="C250" s="70"/>
      <c r="D250" s="71"/>
    </row>
    <row r="251" spans="1:4" x14ac:dyDescent="0.35">
      <c r="A251" s="68"/>
      <c r="B251" s="69"/>
      <c r="C251" s="70"/>
      <c r="D251" s="71"/>
    </row>
    <row r="252" spans="1:4" x14ac:dyDescent="0.35">
      <c r="A252" s="68"/>
      <c r="B252" s="69"/>
      <c r="C252" s="70"/>
      <c r="D252" s="71"/>
    </row>
    <row r="253" spans="1:4" x14ac:dyDescent="0.35">
      <c r="A253" s="68"/>
      <c r="B253" s="69"/>
      <c r="C253" s="70"/>
      <c r="D253" s="71"/>
    </row>
    <row r="254" spans="1:4" x14ac:dyDescent="0.35">
      <c r="A254" s="68"/>
      <c r="B254" s="69"/>
      <c r="C254" s="70"/>
      <c r="D254" s="71"/>
    </row>
    <row r="255" spans="1:4" x14ac:dyDescent="0.35">
      <c r="A255" s="68"/>
      <c r="B255" s="69"/>
      <c r="C255" s="70"/>
      <c r="D255" s="71"/>
    </row>
    <row r="256" spans="1:4" x14ac:dyDescent="0.35">
      <c r="A256" s="68"/>
      <c r="B256" s="69"/>
      <c r="C256" s="70"/>
      <c r="D256" s="71"/>
    </row>
    <row r="257" spans="1:4" x14ac:dyDescent="0.35">
      <c r="A257" s="68"/>
      <c r="B257" s="69"/>
      <c r="C257" s="70"/>
      <c r="D257" s="71"/>
    </row>
    <row r="258" spans="1:4" x14ac:dyDescent="0.35">
      <c r="A258" s="68"/>
      <c r="B258" s="69"/>
      <c r="C258" s="70"/>
      <c r="D258" s="71"/>
    </row>
    <row r="259" spans="1:4" x14ac:dyDescent="0.35">
      <c r="A259" s="68"/>
      <c r="B259" s="69"/>
      <c r="C259" s="70"/>
      <c r="D259" s="71"/>
    </row>
    <row r="260" spans="1:4" x14ac:dyDescent="0.35">
      <c r="A260" s="68"/>
      <c r="B260" s="69"/>
      <c r="C260" s="70"/>
      <c r="D260" s="71"/>
    </row>
    <row r="261" spans="1:4" x14ac:dyDescent="0.35">
      <c r="A261" s="68"/>
      <c r="B261" s="69"/>
      <c r="C261" s="70"/>
      <c r="D261" s="71"/>
    </row>
    <row r="262" spans="1:4" x14ac:dyDescent="0.35">
      <c r="A262" s="68"/>
      <c r="B262" s="69"/>
      <c r="C262" s="70"/>
      <c r="D262" s="71"/>
    </row>
    <row r="263" spans="1:4" x14ac:dyDescent="0.35">
      <c r="A263" s="68"/>
      <c r="B263" s="69"/>
      <c r="C263" s="70"/>
      <c r="D263" s="71"/>
    </row>
    <row r="264" spans="1:4" x14ac:dyDescent="0.35">
      <c r="A264" s="68"/>
      <c r="B264" s="69"/>
      <c r="C264" s="70"/>
      <c r="D264" s="71"/>
    </row>
    <row r="265" spans="1:4" x14ac:dyDescent="0.35">
      <c r="A265" s="68"/>
      <c r="B265" s="69"/>
      <c r="C265" s="70"/>
      <c r="D265" s="71"/>
    </row>
    <row r="266" spans="1:4" x14ac:dyDescent="0.35">
      <c r="A266" s="68"/>
      <c r="B266" s="69"/>
      <c r="C266" s="70"/>
      <c r="D266" s="71"/>
    </row>
    <row r="267" spans="1:4" x14ac:dyDescent="0.35">
      <c r="A267" s="68"/>
      <c r="B267" s="69"/>
      <c r="C267" s="70"/>
      <c r="D267" s="71"/>
    </row>
    <row r="268" spans="1:4" x14ac:dyDescent="0.35">
      <c r="A268" s="68"/>
      <c r="B268" s="69"/>
      <c r="C268" s="70"/>
      <c r="D268" s="71"/>
    </row>
    <row r="269" spans="1:4" x14ac:dyDescent="0.35">
      <c r="A269" s="68"/>
      <c r="B269" s="69"/>
      <c r="C269" s="70"/>
      <c r="D269" s="71"/>
    </row>
    <row r="270" spans="1:4" x14ac:dyDescent="0.35">
      <c r="A270" s="68"/>
      <c r="B270" s="69"/>
      <c r="C270" s="70"/>
      <c r="D270" s="71"/>
    </row>
    <row r="271" spans="1:4" x14ac:dyDescent="0.35">
      <c r="A271" s="68"/>
      <c r="B271" s="69"/>
      <c r="C271" s="70"/>
      <c r="D271" s="71"/>
    </row>
    <row r="272" spans="1:4" x14ac:dyDescent="0.35">
      <c r="A272" s="68"/>
      <c r="B272" s="69"/>
      <c r="C272" s="70"/>
      <c r="D272" s="71"/>
    </row>
    <row r="273" spans="1:4" x14ac:dyDescent="0.35">
      <c r="A273" s="68"/>
      <c r="B273" s="69"/>
      <c r="C273" s="70"/>
      <c r="D273" s="71"/>
    </row>
    <row r="274" spans="1:4" x14ac:dyDescent="0.35">
      <c r="A274" s="68"/>
      <c r="B274" s="69"/>
      <c r="C274" s="70"/>
      <c r="D274" s="71"/>
    </row>
    <row r="275" spans="1:4" x14ac:dyDescent="0.35">
      <c r="A275" s="68"/>
      <c r="B275" s="69"/>
      <c r="C275" s="70"/>
      <c r="D275" s="71"/>
    </row>
    <row r="276" spans="1:4" x14ac:dyDescent="0.35">
      <c r="A276" s="68"/>
      <c r="B276" s="69"/>
      <c r="C276" s="70"/>
      <c r="D276" s="71"/>
    </row>
    <row r="277" spans="1:4" x14ac:dyDescent="0.35">
      <c r="A277" s="68"/>
      <c r="B277" s="69"/>
      <c r="C277" s="70"/>
      <c r="D277" s="71"/>
    </row>
    <row r="278" spans="1:4" x14ac:dyDescent="0.35">
      <c r="A278" s="68"/>
      <c r="B278" s="69"/>
      <c r="C278" s="70"/>
      <c r="D278" s="71"/>
    </row>
    <row r="279" spans="1:4" x14ac:dyDescent="0.35">
      <c r="A279" s="68"/>
      <c r="B279" s="69"/>
      <c r="C279" s="70"/>
      <c r="D279" s="71"/>
    </row>
    <row r="280" spans="1:4" x14ac:dyDescent="0.35">
      <c r="A280" s="68"/>
      <c r="B280" s="69"/>
      <c r="C280" s="70"/>
      <c r="D280" s="71"/>
    </row>
    <row r="281" spans="1:4" x14ac:dyDescent="0.35">
      <c r="A281" s="68"/>
      <c r="B281" s="69"/>
      <c r="C281" s="70"/>
      <c r="D281" s="71"/>
    </row>
    <row r="282" spans="1:4" x14ac:dyDescent="0.35">
      <c r="A282" s="68"/>
      <c r="B282" s="69"/>
      <c r="C282" s="70"/>
      <c r="D282" s="71"/>
    </row>
    <row r="283" spans="1:4" x14ac:dyDescent="0.35">
      <c r="A283" s="68"/>
      <c r="B283" s="69"/>
      <c r="C283" s="70"/>
      <c r="D283" s="71"/>
    </row>
    <row r="284" spans="1:4" x14ac:dyDescent="0.35">
      <c r="A284" s="68"/>
      <c r="B284" s="69"/>
      <c r="C284" s="70"/>
      <c r="D284" s="71"/>
    </row>
    <row r="285" spans="1:4" x14ac:dyDescent="0.35">
      <c r="A285" s="68"/>
      <c r="B285" s="69"/>
      <c r="C285" s="70"/>
      <c r="D285" s="71"/>
    </row>
    <row r="286" spans="1:4" x14ac:dyDescent="0.35">
      <c r="A286" s="68"/>
      <c r="B286" s="69"/>
      <c r="C286" s="70"/>
      <c r="D286" s="71"/>
    </row>
    <row r="287" spans="1:4" x14ac:dyDescent="0.35">
      <c r="A287" s="68"/>
      <c r="B287" s="69"/>
      <c r="C287" s="70"/>
      <c r="D287" s="71"/>
    </row>
    <row r="288" spans="1:4" x14ac:dyDescent="0.35">
      <c r="A288" s="68"/>
      <c r="B288" s="69"/>
      <c r="C288" s="70"/>
      <c r="D288" s="71"/>
    </row>
    <row r="289" spans="1:4" x14ac:dyDescent="0.35">
      <c r="A289" s="68"/>
      <c r="B289" s="69"/>
      <c r="C289" s="70"/>
      <c r="D289" s="71"/>
    </row>
    <row r="290" spans="1:4" x14ac:dyDescent="0.35">
      <c r="A290" s="68"/>
      <c r="B290" s="69"/>
      <c r="C290" s="70"/>
      <c r="D290" s="71"/>
    </row>
    <row r="291" spans="1:4" x14ac:dyDescent="0.35">
      <c r="A291" s="68"/>
      <c r="B291" s="69"/>
      <c r="C291" s="70"/>
      <c r="D291" s="71"/>
    </row>
    <row r="292" spans="1:4" x14ac:dyDescent="0.35">
      <c r="A292" s="68"/>
      <c r="B292" s="69"/>
      <c r="C292" s="70"/>
      <c r="D292" s="71"/>
    </row>
    <row r="293" spans="1:4" x14ac:dyDescent="0.35">
      <c r="A293" s="68"/>
      <c r="B293" s="69"/>
      <c r="C293" s="70"/>
      <c r="D293" s="71"/>
    </row>
    <row r="294" spans="1:4" x14ac:dyDescent="0.35">
      <c r="A294" s="68"/>
      <c r="B294" s="69"/>
      <c r="C294" s="70"/>
      <c r="D294" s="71"/>
    </row>
    <row r="295" spans="1:4" x14ac:dyDescent="0.35">
      <c r="A295" s="68"/>
      <c r="B295" s="69"/>
      <c r="C295" s="70"/>
      <c r="D295" s="71"/>
    </row>
    <row r="296" spans="1:4" x14ac:dyDescent="0.35">
      <c r="A296" s="68"/>
      <c r="B296" s="69"/>
      <c r="C296" s="70"/>
      <c r="D296" s="71"/>
    </row>
    <row r="297" spans="1:4" x14ac:dyDescent="0.35">
      <c r="A297" s="68"/>
      <c r="B297" s="69"/>
      <c r="C297" s="70"/>
      <c r="D297" s="71"/>
    </row>
    <row r="298" spans="1:4" x14ac:dyDescent="0.35">
      <c r="A298" s="68"/>
      <c r="B298" s="69"/>
      <c r="C298" s="70"/>
      <c r="D298" s="71"/>
    </row>
    <row r="299" spans="1:4" x14ac:dyDescent="0.35">
      <c r="A299" s="68"/>
      <c r="B299" s="69"/>
      <c r="C299" s="70"/>
      <c r="D299" s="71"/>
    </row>
    <row r="300" spans="1:4" x14ac:dyDescent="0.35">
      <c r="A300" s="68"/>
      <c r="B300" s="69"/>
      <c r="C300" s="70"/>
      <c r="D300" s="71"/>
    </row>
    <row r="301" spans="1:4" x14ac:dyDescent="0.35">
      <c r="A301" s="68"/>
      <c r="B301" s="69"/>
      <c r="C301" s="70"/>
      <c r="D301" s="71"/>
    </row>
    <row r="302" spans="1:4" x14ac:dyDescent="0.35">
      <c r="A302" s="68"/>
      <c r="B302" s="69"/>
      <c r="C302" s="70"/>
      <c r="D302" s="71"/>
    </row>
    <row r="303" spans="1:4" x14ac:dyDescent="0.35">
      <c r="A303" s="68"/>
      <c r="B303" s="69"/>
      <c r="C303" s="70"/>
      <c r="D303" s="71"/>
    </row>
    <row r="304" spans="1:4" x14ac:dyDescent="0.35">
      <c r="A304" s="68"/>
      <c r="B304" s="69"/>
      <c r="C304" s="70"/>
      <c r="D304" s="71"/>
    </row>
    <row r="305" spans="1:4" x14ac:dyDescent="0.35">
      <c r="A305" s="68"/>
      <c r="B305" s="69"/>
      <c r="C305" s="70"/>
      <c r="D305" s="71"/>
    </row>
    <row r="306" spans="1:4" x14ac:dyDescent="0.35">
      <c r="A306" s="68"/>
      <c r="B306" s="69"/>
      <c r="C306" s="70"/>
      <c r="D306" s="71"/>
    </row>
    <row r="307" spans="1:4" x14ac:dyDescent="0.35">
      <c r="A307" s="68"/>
      <c r="B307" s="69"/>
      <c r="C307" s="70"/>
      <c r="D307" s="71"/>
    </row>
    <row r="308" spans="1:4" x14ac:dyDescent="0.35">
      <c r="A308" s="68"/>
      <c r="B308" s="69"/>
      <c r="C308" s="70"/>
      <c r="D308" s="71"/>
    </row>
    <row r="309" spans="1:4" x14ac:dyDescent="0.35">
      <c r="A309" s="68"/>
      <c r="B309" s="69"/>
      <c r="C309" s="70"/>
      <c r="D309" s="71"/>
    </row>
    <row r="310" spans="1:4" x14ac:dyDescent="0.35">
      <c r="A310" s="68"/>
      <c r="B310" s="69"/>
      <c r="C310" s="70"/>
      <c r="D310" s="71"/>
    </row>
    <row r="311" spans="1:4" x14ac:dyDescent="0.35">
      <c r="A311" s="68"/>
      <c r="B311" s="69"/>
      <c r="C311" s="70"/>
      <c r="D311" s="71"/>
    </row>
    <row r="312" spans="1:4" x14ac:dyDescent="0.35">
      <c r="A312" s="68"/>
      <c r="B312" s="69"/>
      <c r="C312" s="70"/>
      <c r="D312" s="71"/>
    </row>
    <row r="313" spans="1:4" x14ac:dyDescent="0.35">
      <c r="A313" s="68"/>
      <c r="B313" s="69"/>
      <c r="C313" s="70"/>
      <c r="D313" s="71"/>
    </row>
    <row r="314" spans="1:4" x14ac:dyDescent="0.35">
      <c r="A314" s="68"/>
      <c r="B314" s="69"/>
      <c r="C314" s="70"/>
      <c r="D314" s="71"/>
    </row>
    <row r="315" spans="1:4" x14ac:dyDescent="0.35">
      <c r="A315" s="68"/>
      <c r="B315" s="69"/>
      <c r="C315" s="70"/>
      <c r="D315" s="71"/>
    </row>
    <row r="316" spans="1:4" x14ac:dyDescent="0.35">
      <c r="A316" s="68"/>
      <c r="B316" s="69"/>
      <c r="C316" s="70"/>
      <c r="D316" s="71"/>
    </row>
    <row r="317" spans="1:4" x14ac:dyDescent="0.35">
      <c r="A317" s="68"/>
      <c r="B317" s="69"/>
      <c r="C317" s="70"/>
      <c r="D317" s="71"/>
    </row>
    <row r="318" spans="1:4" x14ac:dyDescent="0.35">
      <c r="A318" s="68"/>
      <c r="B318" s="69"/>
      <c r="C318" s="70"/>
      <c r="D318" s="71"/>
    </row>
    <row r="319" spans="1:4" x14ac:dyDescent="0.35">
      <c r="A319" s="68"/>
      <c r="B319" s="69"/>
      <c r="C319" s="70"/>
      <c r="D319" s="71"/>
    </row>
    <row r="320" spans="1:4" x14ac:dyDescent="0.35">
      <c r="A320" s="68"/>
      <c r="B320" s="69"/>
      <c r="C320" s="70"/>
      <c r="D320" s="71"/>
    </row>
    <row r="321" spans="1:4" x14ac:dyDescent="0.35">
      <c r="A321" s="68"/>
      <c r="B321" s="69"/>
      <c r="C321" s="70"/>
      <c r="D321" s="71"/>
    </row>
    <row r="322" spans="1:4" x14ac:dyDescent="0.35">
      <c r="A322" s="68"/>
      <c r="B322" s="69"/>
      <c r="C322" s="70"/>
      <c r="D322" s="71"/>
    </row>
    <row r="323" spans="1:4" x14ac:dyDescent="0.35">
      <c r="A323" s="68"/>
      <c r="B323" s="69"/>
      <c r="C323" s="70"/>
      <c r="D323" s="71"/>
    </row>
    <row r="324" spans="1:4" x14ac:dyDescent="0.35">
      <c r="A324" s="68"/>
      <c r="B324" s="69"/>
      <c r="C324" s="70"/>
      <c r="D324" s="71"/>
    </row>
    <row r="325" spans="1:4" x14ac:dyDescent="0.35">
      <c r="A325" s="68"/>
      <c r="B325" s="69"/>
      <c r="C325" s="70"/>
      <c r="D325" s="71"/>
    </row>
    <row r="326" spans="1:4" x14ac:dyDescent="0.35">
      <c r="A326" s="68"/>
      <c r="B326" s="69"/>
      <c r="C326" s="70"/>
      <c r="D326" s="71"/>
    </row>
    <row r="327" spans="1:4" x14ac:dyDescent="0.35">
      <c r="A327" s="68"/>
      <c r="B327" s="69"/>
      <c r="C327" s="70"/>
      <c r="D327" s="71"/>
    </row>
    <row r="328" spans="1:4" x14ac:dyDescent="0.35">
      <c r="A328" s="68"/>
      <c r="B328" s="69"/>
      <c r="C328" s="70"/>
      <c r="D328" s="71"/>
    </row>
    <row r="329" spans="1:4" x14ac:dyDescent="0.35">
      <c r="A329" s="68"/>
      <c r="B329" s="69"/>
      <c r="C329" s="70"/>
      <c r="D329" s="71"/>
    </row>
    <row r="330" spans="1:4" x14ac:dyDescent="0.35">
      <c r="A330" s="68"/>
      <c r="B330" s="69"/>
      <c r="C330" s="70"/>
      <c r="D330" s="71"/>
    </row>
    <row r="331" spans="1:4" x14ac:dyDescent="0.35">
      <c r="A331" s="68"/>
      <c r="B331" s="69"/>
      <c r="C331" s="70"/>
      <c r="D331" s="71"/>
    </row>
    <row r="332" spans="1:4" x14ac:dyDescent="0.35">
      <c r="A332" s="68"/>
      <c r="B332" s="69"/>
      <c r="C332" s="70"/>
      <c r="D332" s="71"/>
    </row>
    <row r="333" spans="1:4" x14ac:dyDescent="0.35">
      <c r="A333" s="68"/>
      <c r="B333" s="69"/>
      <c r="C333" s="70"/>
      <c r="D333" s="71"/>
    </row>
    <row r="334" spans="1:4" x14ac:dyDescent="0.35">
      <c r="A334" s="68"/>
      <c r="B334" s="69"/>
      <c r="C334" s="70"/>
      <c r="D334" s="71"/>
    </row>
    <row r="335" spans="1:4" x14ac:dyDescent="0.35">
      <c r="A335" s="68"/>
      <c r="B335" s="69"/>
      <c r="C335" s="70"/>
      <c r="D335" s="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lkp_project</vt:lpstr>
      <vt:lpstr>lkp_main</vt:lpstr>
      <vt:lpstr>lkp_calibration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Jooste</dc:creator>
  <cp:lastModifiedBy>Fritz Jooste</cp:lastModifiedBy>
  <dcterms:created xsi:type="dcterms:W3CDTF">2025-09-02T21:20:57Z</dcterms:created>
  <dcterms:modified xsi:type="dcterms:W3CDTF">2026-04-12T20:54:12Z</dcterms:modified>
</cp:coreProperties>
</file>