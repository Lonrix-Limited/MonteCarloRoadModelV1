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itz\Juno Services Dropbox\projects\nzta\2026\sh_forecast_model\monte_carlo\cassandra\inputs\"/>
    </mc:Choice>
  </mc:AlternateContent>
  <xr:revisionPtr revIDLastSave="0" documentId="13_ncr:1_{FC123CBB-B776-4D0A-9CA8-6031A0D6883C}" xr6:coauthVersionLast="47" xr6:coauthVersionMax="47" xr10:uidLastSave="{00000000-0000-0000-0000-000000000000}"/>
  <bookViews>
    <workbookView xWindow="3040" yWindow="1940" windowWidth="37580" windowHeight="19660" tabRatio="669" activeTab="1" xr2:uid="{00000000-000D-0000-FFFF-FFFF00000000}"/>
  </bookViews>
  <sheets>
    <sheet name="input_headers" sheetId="1" r:id="rId1"/>
    <sheet name="parameters" sheetId="2" r:id="rId2"/>
    <sheet name="treatments" sheetId="4" r:id="rId3"/>
    <sheet name="bca_strategies" sheetId="5" r:id="rId4"/>
    <sheet name="mcda_setup" sheetId="7" r:id="rId5"/>
    <sheet name="network_functions" sheetId="8" r:id="rId6"/>
  </sheets>
  <definedNames>
    <definedName name="_xlnm._FilterDatabase" localSheetId="0" hidden="1">input_headers!$A$1:$E$29</definedName>
    <definedName name="_xlnm._FilterDatabase" localSheetId="1" hidden="1">parameters!$A$1:$F$31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" i="4" l="1"/>
  <c r="E4" i="4"/>
</calcChain>
</file>

<file path=xl/sharedStrings.xml><?xml version="1.0" encoding="utf-8"?>
<sst xmlns="http://schemas.openxmlformats.org/spreadsheetml/2006/main" count="323" uniqueCount="209">
  <si>
    <t>category</t>
  </si>
  <si>
    <t>column_name</t>
  </si>
  <si>
    <t>data_type</t>
  </si>
  <si>
    <t>example</t>
  </si>
  <si>
    <t>comment</t>
  </si>
  <si>
    <t>idenfification</t>
  </si>
  <si>
    <t>text</t>
  </si>
  <si>
    <t>number</t>
  </si>
  <si>
    <t>SectionID</t>
  </si>
  <si>
    <t>Name of Section</t>
  </si>
  <si>
    <t>Start metre</t>
  </si>
  <si>
    <t>End metre</t>
  </si>
  <si>
    <t>All</t>
  </si>
  <si>
    <t>lane code</t>
  </si>
  <si>
    <t>quantity</t>
  </si>
  <si>
    <t>Length of segment in metres</t>
  </si>
  <si>
    <t>Square metre area</t>
  </si>
  <si>
    <t>road</t>
  </si>
  <si>
    <t>U</t>
  </si>
  <si>
    <t>secondary collector</t>
  </si>
  <si>
    <t>ONRC Category</t>
  </si>
  <si>
    <t>traffic</t>
  </si>
  <si>
    <t>Average Daily Traffic</t>
  </si>
  <si>
    <t>Heavy Vehicle Percentage</t>
  </si>
  <si>
    <t>Traffic Growth Percent</t>
  </si>
  <si>
    <t>surfacing</t>
  </si>
  <si>
    <t>Surface Function</t>
  </si>
  <si>
    <t>Surfacing Material</t>
  </si>
  <si>
    <t>Surfacing thickness, in mm</t>
  </si>
  <si>
    <t>pavement</t>
  </si>
  <si>
    <t>hsd</t>
  </si>
  <si>
    <t>parameter_name</t>
  </si>
  <si>
    <t>minimum</t>
  </si>
  <si>
    <t>maximum</t>
  </si>
  <si>
    <t>decimals</t>
  </si>
  <si>
    <t>Percentage heavy vehicles (ranges from 0 to 100)</t>
  </si>
  <si>
    <t>Pavement age, in years</t>
  </si>
  <si>
    <t>Pavement Remaining Life, in years</t>
  </si>
  <si>
    <t>Pavement Life Achieved (pavement age as a percentage of life (age plus remaining life))</t>
  </si>
  <si>
    <t>Surface Material Code</t>
  </si>
  <si>
    <t>Surface thickness in mm</t>
  </si>
  <si>
    <t>Number of Surface Layers</t>
  </si>
  <si>
    <t>Surface Function (First coat = '1', Second Coat = "2', Reseal = 'R')</t>
  </si>
  <si>
    <t>Surface Expected Life, in years (initially from RAMM, then based on experience after treatment)</t>
  </si>
  <si>
    <t>Surface age, in years</t>
  </si>
  <si>
    <t>Surface Remaining Life, in years</t>
  </si>
  <si>
    <t>Network Functions. Rank of Rut Depth</t>
  </si>
  <si>
    <t>treatment_name</t>
  </si>
  <si>
    <t>budget_category</t>
  </si>
  <si>
    <t>description</t>
  </si>
  <si>
    <t>unit_rate</t>
  </si>
  <si>
    <t>comments</t>
  </si>
  <si>
    <t>Preserve</t>
  </si>
  <si>
    <t>Rehab</t>
  </si>
  <si>
    <t>RMaint</t>
  </si>
  <si>
    <t>Maintenance</t>
  </si>
  <si>
    <t>Routine maintenance</t>
  </si>
  <si>
    <t>Cost will be calculated at run-time based on distresses, hsd rough &amp; rutting, traffic</t>
  </si>
  <si>
    <t>trigger_function</t>
  </si>
  <si>
    <t>quantity_function</t>
  </si>
  <si>
    <t>first_treatment</t>
  </si>
  <si>
    <t>force</t>
  </si>
  <si>
    <t>treat2_name</t>
  </si>
  <si>
    <t>treat2_wait_period</t>
  </si>
  <si>
    <t>treat2_force</t>
  </si>
  <si>
    <t>treat3_name</t>
  </si>
  <si>
    <t>treat3_wait_period</t>
  </si>
  <si>
    <t>treat3_force</t>
  </si>
  <si>
    <t>treat4_name</t>
  </si>
  <si>
    <t>treat4_wait_period</t>
  </si>
  <si>
    <t>treat4_force</t>
  </si>
  <si>
    <t>reason_function</t>
  </si>
  <si>
    <t>comment_function</t>
  </si>
  <si>
    <t>source_type</t>
  </si>
  <si>
    <t>key</t>
  </si>
  <si>
    <t>weight</t>
  </si>
  <si>
    <t>obj_type</t>
  </si>
  <si>
    <t>mcda_ranking</t>
  </si>
  <si>
    <t>treatment_suitability_score</t>
  </si>
  <si>
    <t>treatment_cost</t>
  </si>
  <si>
    <t>model_param</t>
  </si>
  <si>
    <t>input_parameter</t>
  </si>
  <si>
    <t>function_type</t>
  </si>
  <si>
    <t>output_parameter</t>
  </si>
  <si>
    <t>percent_rank_approx</t>
  </si>
  <si>
    <t>Percentage rank for pan_surf_life_ach</t>
  </si>
  <si>
    <t>Percentage rank for pan_rut</t>
  </si>
  <si>
    <t>Segment identifier</t>
  </si>
  <si>
    <t>Segment32</t>
  </si>
  <si>
    <t>BIRDNAME ROAD</t>
  </si>
  <si>
    <t>RACK</t>
  </si>
  <si>
    <t>Xtreat</t>
  </si>
  <si>
    <t>ConcRep</t>
  </si>
  <si>
    <t>BlockRep</t>
  </si>
  <si>
    <t>Birthday</t>
  </si>
  <si>
    <t>Block paving repairs treated when at end of expected life</t>
  </si>
  <si>
    <t>set the file_surf_life_expected to a large value - 999 years - to disable treatment trigger</t>
  </si>
  <si>
    <t>Concrete paving repairs treated when at end of expected life</t>
  </si>
  <si>
    <t>Other repairs treated when at end of expected life</t>
  </si>
  <si>
    <t>Surface Class ('cs' or 'ac', 'blocks','concrete','other')</t>
  </si>
  <si>
    <t>Resurfacing</t>
  </si>
  <si>
    <t>raw_data</t>
  </si>
  <si>
    <r>
      <t xml:space="preserve">Surface Life Achieved (surface age as a percentage of Expected Life), </t>
    </r>
    <r>
      <rPr>
        <strike/>
        <sz val="11"/>
        <rFont val="Aptos Narrow"/>
        <family val="2"/>
        <scheme val="minor"/>
      </rPr>
      <t>Cap at 200% else MCDA over-emphasises this.</t>
    </r>
  </si>
  <si>
    <t>Surfacing Expected life from RAMM. Important factor that determines surface remaining life and plays a role in S-Curve factors for distresses</t>
  </si>
  <si>
    <t>inp_section_id</t>
  </si>
  <si>
    <t>inp_section_name</t>
  </si>
  <si>
    <t>inp_loc_from</t>
  </si>
  <si>
    <t>inp_loc_to</t>
  </si>
  <si>
    <t>inp_length</t>
  </si>
  <si>
    <t>inp_area_m2</t>
  </si>
  <si>
    <t>inp_surf_class</t>
  </si>
  <si>
    <t>inp_urban_rural</t>
  </si>
  <si>
    <t>inp_onrc</t>
  </si>
  <si>
    <t>inp_adt</t>
  </si>
  <si>
    <t>inp_heavy_perc</t>
  </si>
  <si>
    <t>inp_traff_growth_perc</t>
  </si>
  <si>
    <t>inp_surf_date</t>
  </si>
  <si>
    <t>inp_surf_function</t>
  </si>
  <si>
    <t>inp_surf_material</t>
  </si>
  <si>
    <t>inp_surf_life_expected</t>
  </si>
  <si>
    <t>inp_surf_thick</t>
  </si>
  <si>
    <t>inp_pave_date</t>
  </si>
  <si>
    <t>inp_hsd_survey_date</t>
  </si>
  <si>
    <t>inp_rut_mean</t>
  </si>
  <si>
    <t>inp_text_mean</t>
  </si>
  <si>
    <t>Mean texture depth</t>
  </si>
  <si>
    <t>IRI mean value for the segment</t>
  </si>
  <si>
    <t>Rut mean value for the segment</t>
  </si>
  <si>
    <t>Date of HSD survey in ISO format '20260208'</t>
  </si>
  <si>
    <t>Pavement construction data,  in ISO format '20260208'</t>
  </si>
  <si>
    <t>Surfacing date,  in ISO format '20260208'</t>
  </si>
  <si>
    <t>par_adt</t>
  </si>
  <si>
    <t>par_hcv</t>
  </si>
  <si>
    <t>par_pave_age</t>
  </si>
  <si>
    <t>par_pave_remlife</t>
  </si>
  <si>
    <t>par_pave_life_ach</t>
  </si>
  <si>
    <t>par_surf_mat</t>
  </si>
  <si>
    <t>par_surf_class</t>
  </si>
  <si>
    <t>par_surf_thick</t>
  </si>
  <si>
    <t>par_surf_layers</t>
  </si>
  <si>
    <t>par_surf_func</t>
  </si>
  <si>
    <t>par_surf_exp_life</t>
  </si>
  <si>
    <t>par_surf_age</t>
  </si>
  <si>
    <t>par_surf_life_ach</t>
  </si>
  <si>
    <t>par_surf_remain_life</t>
  </si>
  <si>
    <t>par_rut_increm</t>
  </si>
  <si>
    <t>par_rut</t>
  </si>
  <si>
    <t>par_rut_rank</t>
  </si>
  <si>
    <t>par_iri_increm</t>
  </si>
  <si>
    <t>par_iri</t>
  </si>
  <si>
    <t>par_text_increm</t>
  </si>
  <si>
    <t>Texture Increment (mm/year) assigned for the episode</t>
  </si>
  <si>
    <t>par_text</t>
  </si>
  <si>
    <t>Estimated IRI Increment (mm/m/year)</t>
  </si>
  <si>
    <t>Estimated Rut increment for the episode (mm/year)</t>
  </si>
  <si>
    <t>par_iri_rank</t>
  </si>
  <si>
    <t>Network Functions. Rank of mean IRI</t>
  </si>
  <si>
    <t>Urban or Rural</t>
  </si>
  <si>
    <t>AC</t>
  </si>
  <si>
    <t>Surface class (will be cast to lowercase on initialisation)</t>
  </si>
  <si>
    <t>inp_iri_mean</t>
  </si>
  <si>
    <t>par_sla_rank</t>
  </si>
  <si>
    <t>Network Functions. Rank of Surface Life Achieved</t>
  </si>
  <si>
    <t>inp_seg_code</t>
  </si>
  <si>
    <t>inp_lane</t>
  </si>
  <si>
    <t>inp_surf_layers</t>
  </si>
  <si>
    <t>Number of surfacing layers</t>
  </si>
  <si>
    <t>maintenance</t>
  </si>
  <si>
    <t>inp_maint_pa_ext</t>
  </si>
  <si>
    <t>inp_maint_poth_ext</t>
  </si>
  <si>
    <t>Extent of Pothole filling maintenance over preceding year, as fraction (0 to 1) of total length</t>
  </si>
  <si>
    <t>Extent of PA maintenance (excluding Potholes) over the preceding year, as fraction (0 to 1) of total length</t>
  </si>
  <si>
    <t>par_maint_pa</t>
  </si>
  <si>
    <t>par_maint_poth</t>
  </si>
  <si>
    <t>Extent of element that has PA (excl. pothole filling) applied in last period (expressed as fraction of length, 0 to 1)</t>
  </si>
  <si>
    <t>Extent of element that has Pothole Filling applied in last period (expressed as fraction of length, 0 to 1)</t>
  </si>
  <si>
    <t>inp_rut_rate</t>
  </si>
  <si>
    <t>inp_iri_rate</t>
  </si>
  <si>
    <t>inp_text_rate</t>
  </si>
  <si>
    <t>Historical rut deterioration rate, in mm/year</t>
  </si>
  <si>
    <t>Historical IRI deterioration rate, in mm/m/year</t>
  </si>
  <si>
    <t>Historical Texture Depth deterioration rate, in mm/year</t>
  </si>
  <si>
    <t>inp_rainfall</t>
  </si>
  <si>
    <t>Annual Rainfall, in mm, based on 30 NIWA Stations</t>
  </si>
  <si>
    <t>par_rut_obs</t>
  </si>
  <si>
    <t>Mean rut depth (mm) — latent underlying condition state used for deterioration</t>
  </si>
  <si>
    <t>Mean IRI (roughness) (mm/m) — latent underlying condition state used for deterioration</t>
  </si>
  <si>
    <t>Mean Rut depth (mm) — observed condition state including random fluctuation</t>
  </si>
  <si>
    <t>par_text_obs</t>
  </si>
  <si>
    <t>par_iri_obs</t>
  </si>
  <si>
    <t>Mean Texture Depth (mm) — observed condition state including random fluctuation</t>
  </si>
  <si>
    <t>Mean IRI (roughness) (mm/m)  — observed condition state including random fluctuation</t>
  </si>
  <si>
    <t>Mean Texture Depth (mm) — latent underlying condition state used for deterioration</t>
  </si>
  <si>
    <t>par_rut_iri_epi_len</t>
  </si>
  <si>
    <t>Current episode length for the drawn increment for Rut and IRI. Should not be longer than maximum specified.</t>
  </si>
  <si>
    <t>Current episode length for the drawn increment for Texture. Should not be longer than maximum specified.</t>
  </si>
  <si>
    <t>par_text_epi_len</t>
  </si>
  <si>
    <t>ac_resurf</t>
  </si>
  <si>
    <t>Thin AC resurfacing</t>
  </si>
  <si>
    <t>ac_rehab</t>
  </si>
  <si>
    <t>AC Rehabilitation</t>
  </si>
  <si>
    <t>cs_resurf</t>
  </si>
  <si>
    <t>Chipseal resurfacing</t>
  </si>
  <si>
    <t>cs_rehab</t>
  </si>
  <si>
    <t>Chipseal Rehabilitation</t>
  </si>
  <si>
    <t>OGPA resurfacing</t>
  </si>
  <si>
    <t>ogpa_rehab</t>
  </si>
  <si>
    <t>OGPA Rehabilitation</t>
  </si>
  <si>
    <t>ogpa_resurf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</si>
</sst>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2" fillId="3" borderId="4" xfId="0" applyFont="1" applyFill="1" applyBorder="1"/>
    <xf numFmtId="0" fontId="3" fillId="0" borderId="0" xfId="0" applyFont="1"/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0" fillId="7" borderId="4" xfId="0" applyFill="1" applyBorder="1"/>
    <xf numFmtId="0" fontId="0" fillId="5" borderId="4" xfId="0" applyFill="1" applyBorder="1"/>
    <xf numFmtId="0" fontId="3" fillId="7" borderId="4" xfId="0" applyFont="1" applyFill="1" applyBorder="1"/>
    <xf numFmtId="0" fontId="0" fillId="8" borderId="4" xfId="0" applyFill="1" applyBorder="1"/>
    <xf numFmtId="0" fontId="3" fillId="8" borderId="4" xfId="0" applyFont="1" applyFill="1" applyBorder="1"/>
    <xf numFmtId="0" fontId="0" fillId="10" borderId="4" xfId="0" applyFill="1" applyBorder="1"/>
    <xf numFmtId="0" fontId="3" fillId="10" borderId="4" xfId="0" applyFont="1" applyFill="1" applyBorder="1"/>
    <xf numFmtId="0" fontId="3" fillId="10" borderId="4" xfId="0" applyFont="1" applyFill="1" applyBorder="1" applyAlignment="1">
      <alignment horizontal="center"/>
    </xf>
    <xf numFmtId="0" fontId="3" fillId="5" borderId="4" xfId="0" applyFont="1" applyFill="1" applyBorder="1"/>
    <xf numFmtId="0" fontId="3" fillId="5" borderId="4" xfId="0" applyFont="1" applyFill="1" applyBorder="1" applyAlignment="1">
      <alignment horizontal="center"/>
    </xf>
    <xf numFmtId="2" fontId="0" fillId="5" borderId="0" xfId="0" applyNumberFormat="1" applyFill="1" applyAlignment="1">
      <alignment horizontal="center"/>
    </xf>
    <xf numFmtId="0" fontId="2" fillId="3" borderId="7" xfId="0" applyFont="1" applyFill="1" applyBorder="1" applyAlignment="1">
      <alignment vertical="center"/>
    </xf>
    <xf numFmtId="0" fontId="2" fillId="3" borderId="7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11" borderId="7" xfId="0" applyFont="1" applyFill="1" applyBorder="1" applyAlignment="1">
      <alignment vertical="center"/>
    </xf>
    <xf numFmtId="0" fontId="3" fillId="11" borderId="7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vertical="center"/>
    </xf>
    <xf numFmtId="0" fontId="3" fillId="6" borderId="7" xfId="0" applyFont="1" applyFill="1" applyBorder="1" applyAlignment="1">
      <alignment horizontal="left" vertical="center"/>
    </xf>
    <xf numFmtId="0" fontId="3" fillId="9" borderId="7" xfId="0" applyFont="1" applyFill="1" applyBorder="1" applyAlignment="1">
      <alignment vertical="center"/>
    </xf>
    <xf numFmtId="0" fontId="3" fillId="9" borderId="7" xfId="0" applyFont="1" applyFill="1" applyBorder="1" applyAlignment="1">
      <alignment horizontal="left" vertical="center"/>
    </xf>
    <xf numFmtId="0" fontId="3" fillId="12" borderId="7" xfId="0" applyFont="1" applyFill="1" applyBorder="1" applyAlignment="1">
      <alignment vertical="center"/>
    </xf>
    <xf numFmtId="0" fontId="3" fillId="12" borderId="7" xfId="0" applyFont="1" applyFill="1" applyBorder="1" applyAlignment="1">
      <alignment horizontal="left" vertical="center"/>
    </xf>
    <xf numFmtId="0" fontId="3" fillId="7" borderId="7" xfId="0" applyFont="1" applyFill="1" applyBorder="1" applyAlignment="1">
      <alignment vertical="center"/>
    </xf>
    <xf numFmtId="0" fontId="3" fillId="7" borderId="7" xfId="0" applyFont="1" applyFill="1" applyBorder="1" applyAlignment="1">
      <alignment horizontal="left" vertical="center"/>
    </xf>
    <xf numFmtId="0" fontId="2" fillId="13" borderId="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E1F2"/>
      <color rgb="FFBDD7EE"/>
      <color rgb="FFFFFF99"/>
      <color rgb="FFE7F1F9"/>
      <color rgb="FFF8F5E8"/>
      <color rgb="FFF2F8EE"/>
      <color rgb="FFFFFFCC"/>
      <color rgb="FFFFFFF3"/>
      <color rgb="FFF1E9C5"/>
      <color rgb="FFF2ED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showGridLines="0" zoomScaleNormal="100" workbookViewId="0">
      <selection activeCell="E13" sqref="E13"/>
    </sheetView>
  </sheetViews>
  <sheetFormatPr defaultColWidth="9.1796875" defaultRowHeight="15" customHeight="1" x14ac:dyDescent="0.35"/>
  <cols>
    <col min="1" max="1" width="15.7265625" style="2" customWidth="1"/>
    <col min="2" max="2" width="18.90625" style="2" bestFit="1" customWidth="1"/>
    <col min="3" max="3" width="12.36328125" style="2" customWidth="1"/>
    <col min="4" max="4" width="16.81640625" style="5" bestFit="1" customWidth="1"/>
    <col min="5" max="5" width="114.26953125" style="2" bestFit="1" customWidth="1"/>
    <col min="6" max="16384" width="9.1796875" style="1"/>
  </cols>
  <sheetData>
    <row r="1" spans="1:5" ht="15" customHeight="1" x14ac:dyDescent="0.35">
      <c r="A1" s="26" t="s">
        <v>0</v>
      </c>
      <c r="B1" s="26" t="s">
        <v>1</v>
      </c>
      <c r="C1" s="26" t="s">
        <v>2</v>
      </c>
      <c r="D1" s="27" t="s">
        <v>3</v>
      </c>
      <c r="E1" s="26" t="s">
        <v>4</v>
      </c>
    </row>
    <row r="2" spans="1:5" ht="15" customHeight="1" x14ac:dyDescent="0.35">
      <c r="A2" s="28" t="s">
        <v>5</v>
      </c>
      <c r="B2" s="28" t="s">
        <v>163</v>
      </c>
      <c r="C2" s="28" t="s">
        <v>6</v>
      </c>
      <c r="D2" s="29" t="s">
        <v>88</v>
      </c>
      <c r="E2" s="28" t="s">
        <v>87</v>
      </c>
    </row>
    <row r="3" spans="1:5" ht="15" customHeight="1" x14ac:dyDescent="0.35">
      <c r="A3" s="28" t="s">
        <v>5</v>
      </c>
      <c r="B3" s="28" t="s">
        <v>104</v>
      </c>
      <c r="C3" s="28" t="s">
        <v>7</v>
      </c>
      <c r="D3" s="29">
        <v>724</v>
      </c>
      <c r="E3" s="28" t="s">
        <v>8</v>
      </c>
    </row>
    <row r="4" spans="1:5" ht="15" customHeight="1" x14ac:dyDescent="0.35">
      <c r="A4" s="28" t="s">
        <v>5</v>
      </c>
      <c r="B4" s="28" t="s">
        <v>105</v>
      </c>
      <c r="C4" s="28" t="s">
        <v>6</v>
      </c>
      <c r="D4" s="29" t="s">
        <v>89</v>
      </c>
      <c r="E4" s="28" t="s">
        <v>9</v>
      </c>
    </row>
    <row r="5" spans="1:5" ht="15" customHeight="1" x14ac:dyDescent="0.35">
      <c r="A5" s="28" t="s">
        <v>5</v>
      </c>
      <c r="B5" s="28" t="s">
        <v>106</v>
      </c>
      <c r="C5" s="28" t="s">
        <v>7</v>
      </c>
      <c r="D5" s="29">
        <v>430</v>
      </c>
      <c r="E5" s="28" t="s">
        <v>10</v>
      </c>
    </row>
    <row r="6" spans="1:5" ht="15" customHeight="1" x14ac:dyDescent="0.35">
      <c r="A6" s="28" t="s">
        <v>5</v>
      </c>
      <c r="B6" s="28" t="s">
        <v>107</v>
      </c>
      <c r="C6" s="28" t="s">
        <v>7</v>
      </c>
      <c r="D6" s="29">
        <v>1445</v>
      </c>
      <c r="E6" s="28" t="s">
        <v>11</v>
      </c>
    </row>
    <row r="7" spans="1:5" ht="15" customHeight="1" x14ac:dyDescent="0.35">
      <c r="A7" s="28" t="s">
        <v>5</v>
      </c>
      <c r="B7" s="28" t="s">
        <v>164</v>
      </c>
      <c r="C7" s="28" t="s">
        <v>6</v>
      </c>
      <c r="D7" s="29" t="s">
        <v>12</v>
      </c>
      <c r="E7" s="28" t="s">
        <v>13</v>
      </c>
    </row>
    <row r="8" spans="1:5" ht="15" customHeight="1" x14ac:dyDescent="0.35">
      <c r="A8" s="30" t="s">
        <v>14</v>
      </c>
      <c r="B8" s="30" t="s">
        <v>108</v>
      </c>
      <c r="C8" s="30" t="s">
        <v>7</v>
      </c>
      <c r="D8" s="31">
        <v>1015</v>
      </c>
      <c r="E8" s="30" t="s">
        <v>15</v>
      </c>
    </row>
    <row r="9" spans="1:5" ht="15" customHeight="1" x14ac:dyDescent="0.35">
      <c r="A9" s="30" t="s">
        <v>14</v>
      </c>
      <c r="B9" s="30" t="s">
        <v>109</v>
      </c>
      <c r="C9" s="30" t="s">
        <v>7</v>
      </c>
      <c r="D9" s="31">
        <v>10332</v>
      </c>
      <c r="E9" s="30" t="s">
        <v>16</v>
      </c>
    </row>
    <row r="10" spans="1:5" ht="15" customHeight="1" x14ac:dyDescent="0.35">
      <c r="A10" s="32" t="s">
        <v>17</v>
      </c>
      <c r="B10" s="32" t="s">
        <v>111</v>
      </c>
      <c r="C10" s="32" t="s">
        <v>6</v>
      </c>
      <c r="D10" s="33" t="s">
        <v>18</v>
      </c>
      <c r="E10" s="32" t="s">
        <v>157</v>
      </c>
    </row>
    <row r="11" spans="1:5" ht="15" customHeight="1" x14ac:dyDescent="0.35">
      <c r="A11" s="32" t="s">
        <v>17</v>
      </c>
      <c r="B11" s="32" t="s">
        <v>112</v>
      </c>
      <c r="C11" s="32" t="s">
        <v>6</v>
      </c>
      <c r="D11" s="33" t="s">
        <v>19</v>
      </c>
      <c r="E11" s="32" t="s">
        <v>20</v>
      </c>
    </row>
    <row r="12" spans="1:5" ht="15" customHeight="1" x14ac:dyDescent="0.35">
      <c r="A12" s="32" t="s">
        <v>17</v>
      </c>
      <c r="B12" s="32" t="s">
        <v>182</v>
      </c>
      <c r="C12" s="32" t="s">
        <v>7</v>
      </c>
      <c r="D12" s="33">
        <v>567</v>
      </c>
      <c r="E12" s="32" t="s">
        <v>183</v>
      </c>
    </row>
    <row r="13" spans="1:5" ht="15" customHeight="1" x14ac:dyDescent="0.35">
      <c r="A13" s="34" t="s">
        <v>21</v>
      </c>
      <c r="B13" s="34" t="s">
        <v>113</v>
      </c>
      <c r="C13" s="34" t="s">
        <v>7</v>
      </c>
      <c r="D13" s="35">
        <v>2463</v>
      </c>
      <c r="E13" s="34" t="s">
        <v>22</v>
      </c>
    </row>
    <row r="14" spans="1:5" ht="15" customHeight="1" x14ac:dyDescent="0.35">
      <c r="A14" s="34" t="s">
        <v>21</v>
      </c>
      <c r="B14" s="34" t="s">
        <v>114</v>
      </c>
      <c r="C14" s="34" t="s">
        <v>7</v>
      </c>
      <c r="D14" s="35">
        <v>5</v>
      </c>
      <c r="E14" s="34" t="s">
        <v>23</v>
      </c>
    </row>
    <row r="15" spans="1:5" ht="15" customHeight="1" x14ac:dyDescent="0.35">
      <c r="A15" s="34" t="s">
        <v>21</v>
      </c>
      <c r="B15" s="34" t="s">
        <v>115</v>
      </c>
      <c r="C15" s="34" t="s">
        <v>7</v>
      </c>
      <c r="D15" s="35">
        <v>2</v>
      </c>
      <c r="E15" s="34" t="s">
        <v>24</v>
      </c>
    </row>
    <row r="16" spans="1:5" ht="15" customHeight="1" x14ac:dyDescent="0.35">
      <c r="A16" s="36" t="s">
        <v>25</v>
      </c>
      <c r="B16" s="36" t="s">
        <v>110</v>
      </c>
      <c r="C16" s="36" t="s">
        <v>6</v>
      </c>
      <c r="D16" s="37" t="s">
        <v>158</v>
      </c>
      <c r="E16" s="36" t="s">
        <v>159</v>
      </c>
    </row>
    <row r="17" spans="1:5" ht="15" customHeight="1" x14ac:dyDescent="0.35">
      <c r="A17" s="36" t="s">
        <v>25</v>
      </c>
      <c r="B17" s="36" t="s">
        <v>116</v>
      </c>
      <c r="C17" s="36" t="s">
        <v>6</v>
      </c>
      <c r="D17" s="37">
        <v>20260208</v>
      </c>
      <c r="E17" s="36" t="s">
        <v>130</v>
      </c>
    </row>
    <row r="18" spans="1:5" ht="15" customHeight="1" x14ac:dyDescent="0.35">
      <c r="A18" s="36" t="s">
        <v>25</v>
      </c>
      <c r="B18" s="36" t="s">
        <v>117</v>
      </c>
      <c r="C18" s="36" t="s">
        <v>6</v>
      </c>
      <c r="D18" s="37">
        <v>2</v>
      </c>
      <c r="E18" s="36" t="s">
        <v>26</v>
      </c>
    </row>
    <row r="19" spans="1:5" ht="15" customHeight="1" x14ac:dyDescent="0.35">
      <c r="A19" s="36" t="s">
        <v>25</v>
      </c>
      <c r="B19" s="36" t="s">
        <v>118</v>
      </c>
      <c r="C19" s="36" t="s">
        <v>6</v>
      </c>
      <c r="D19" s="37" t="s">
        <v>90</v>
      </c>
      <c r="E19" s="36" t="s">
        <v>27</v>
      </c>
    </row>
    <row r="20" spans="1:5" ht="15" customHeight="1" x14ac:dyDescent="0.35">
      <c r="A20" s="36" t="s">
        <v>25</v>
      </c>
      <c r="B20" s="36" t="s">
        <v>119</v>
      </c>
      <c r="C20" s="36" t="s">
        <v>7</v>
      </c>
      <c r="D20" s="37">
        <v>10</v>
      </c>
      <c r="E20" s="36" t="s">
        <v>103</v>
      </c>
    </row>
    <row r="21" spans="1:5" ht="15" customHeight="1" x14ac:dyDescent="0.35">
      <c r="A21" s="36" t="s">
        <v>25</v>
      </c>
      <c r="B21" s="36" t="s">
        <v>165</v>
      </c>
      <c r="C21" s="36" t="s">
        <v>7</v>
      </c>
      <c r="D21" s="37">
        <v>1</v>
      </c>
      <c r="E21" s="36" t="s">
        <v>166</v>
      </c>
    </row>
    <row r="22" spans="1:5" ht="15" customHeight="1" x14ac:dyDescent="0.35">
      <c r="A22" s="36" t="s">
        <v>25</v>
      </c>
      <c r="B22" s="36" t="s">
        <v>120</v>
      </c>
      <c r="C22" s="36" t="s">
        <v>7</v>
      </c>
      <c r="D22" s="37">
        <v>9</v>
      </c>
      <c r="E22" s="36" t="s">
        <v>28</v>
      </c>
    </row>
    <row r="23" spans="1:5" ht="15" customHeight="1" x14ac:dyDescent="0.35">
      <c r="A23" s="38" t="s">
        <v>29</v>
      </c>
      <c r="B23" s="38" t="s">
        <v>121</v>
      </c>
      <c r="C23" s="38" t="s">
        <v>6</v>
      </c>
      <c r="D23" s="39">
        <v>20260208</v>
      </c>
      <c r="E23" s="38" t="s">
        <v>129</v>
      </c>
    </row>
    <row r="24" spans="1:5" ht="15" customHeight="1" x14ac:dyDescent="0.35">
      <c r="A24" s="40" t="s">
        <v>30</v>
      </c>
      <c r="B24" s="40" t="s">
        <v>122</v>
      </c>
      <c r="C24" s="40" t="s">
        <v>6</v>
      </c>
      <c r="D24" s="41">
        <v>20260208</v>
      </c>
      <c r="E24" s="40" t="s">
        <v>128</v>
      </c>
    </row>
    <row r="25" spans="1:5" ht="15" customHeight="1" x14ac:dyDescent="0.35">
      <c r="A25" s="40" t="s">
        <v>30</v>
      </c>
      <c r="B25" s="40" t="s">
        <v>123</v>
      </c>
      <c r="C25" s="40" t="s">
        <v>7</v>
      </c>
      <c r="D25" s="41">
        <v>7.3</v>
      </c>
      <c r="E25" s="40" t="s">
        <v>127</v>
      </c>
    </row>
    <row r="26" spans="1:5" ht="15" customHeight="1" x14ac:dyDescent="0.35">
      <c r="A26" s="40" t="s">
        <v>30</v>
      </c>
      <c r="B26" s="40" t="s">
        <v>176</v>
      </c>
      <c r="C26" s="40" t="s">
        <v>7</v>
      </c>
      <c r="D26" s="41">
        <v>0.3</v>
      </c>
      <c r="E26" s="40" t="s">
        <v>179</v>
      </c>
    </row>
    <row r="27" spans="1:5" ht="15" customHeight="1" x14ac:dyDescent="0.35">
      <c r="A27" s="40" t="s">
        <v>30</v>
      </c>
      <c r="B27" s="40" t="s">
        <v>160</v>
      </c>
      <c r="C27" s="40" t="s">
        <v>7</v>
      </c>
      <c r="D27" s="41">
        <v>2.23</v>
      </c>
      <c r="E27" s="40" t="s">
        <v>126</v>
      </c>
    </row>
    <row r="28" spans="1:5" ht="15" customHeight="1" x14ac:dyDescent="0.35">
      <c r="A28" s="40" t="s">
        <v>30</v>
      </c>
      <c r="B28" s="40" t="s">
        <v>177</v>
      </c>
      <c r="C28" s="40" t="s">
        <v>7</v>
      </c>
      <c r="D28" s="41">
        <v>0.05</v>
      </c>
      <c r="E28" s="40" t="s">
        <v>180</v>
      </c>
    </row>
    <row r="29" spans="1:5" ht="15" customHeight="1" x14ac:dyDescent="0.35">
      <c r="A29" s="40" t="s">
        <v>30</v>
      </c>
      <c r="B29" s="40" t="s">
        <v>124</v>
      </c>
      <c r="C29" s="40" t="s">
        <v>7</v>
      </c>
      <c r="D29" s="41">
        <v>0.78</v>
      </c>
      <c r="E29" s="40" t="s">
        <v>125</v>
      </c>
    </row>
    <row r="30" spans="1:5" ht="15" customHeight="1" x14ac:dyDescent="0.35">
      <c r="A30" s="40" t="s">
        <v>30</v>
      </c>
      <c r="B30" s="40" t="s">
        <v>178</v>
      </c>
      <c r="C30" s="40" t="s">
        <v>7</v>
      </c>
      <c r="D30" s="41">
        <v>-0.2</v>
      </c>
      <c r="E30" s="40" t="s">
        <v>181</v>
      </c>
    </row>
    <row r="31" spans="1:5" ht="15" customHeight="1" x14ac:dyDescent="0.35">
      <c r="A31" s="32" t="s">
        <v>167</v>
      </c>
      <c r="B31" s="32" t="s">
        <v>168</v>
      </c>
      <c r="C31" s="32" t="s">
        <v>7</v>
      </c>
      <c r="D31" s="33">
        <v>0.1</v>
      </c>
      <c r="E31" s="32" t="s">
        <v>171</v>
      </c>
    </row>
    <row r="32" spans="1:5" ht="15" customHeight="1" x14ac:dyDescent="0.35">
      <c r="A32" s="32" t="s">
        <v>167</v>
      </c>
      <c r="B32" s="32" t="s">
        <v>169</v>
      </c>
      <c r="C32" s="32" t="s">
        <v>7</v>
      </c>
      <c r="D32" s="33">
        <v>0.2</v>
      </c>
      <c r="E32" s="32" t="s">
        <v>170</v>
      </c>
    </row>
    <row r="33" spans="2:2" ht="15" customHeight="1" x14ac:dyDescent="0.35">
      <c r="B33"/>
    </row>
    <row r="34" spans="2:2" ht="15" customHeight="1" x14ac:dyDescent="0.35">
      <c r="B34"/>
    </row>
    <row r="35" spans="2:2" ht="15" customHeight="1" x14ac:dyDescent="0.35">
      <c r="B35"/>
    </row>
    <row r="36" spans="2:2" ht="15" customHeight="1" x14ac:dyDescent="0.35">
      <c r="B36" s="1"/>
    </row>
    <row r="37" spans="2:2" ht="15" customHeight="1" x14ac:dyDescent="0.35">
      <c r="B37" s="1"/>
    </row>
    <row r="38" spans="2:2" ht="15" customHeight="1" x14ac:dyDescent="0.35">
      <c r="B38"/>
    </row>
    <row r="39" spans="2:2" ht="15" customHeight="1" x14ac:dyDescent="0.35">
      <c r="B39"/>
    </row>
    <row r="40" spans="2:2" ht="15" customHeight="1" x14ac:dyDescent="0.35">
      <c r="B40"/>
    </row>
    <row r="41" spans="2:2" ht="15" customHeight="1" x14ac:dyDescent="0.35">
      <c r="B41"/>
    </row>
    <row r="42" spans="2:2" ht="15" customHeight="1" x14ac:dyDescent="0.35">
      <c r="B42"/>
    </row>
    <row r="43" spans="2:2" ht="15" customHeight="1" x14ac:dyDescent="0.35">
      <c r="B43"/>
    </row>
    <row r="44" spans="2:2" ht="15" customHeight="1" x14ac:dyDescent="0.35">
      <c r="B44"/>
    </row>
    <row r="45" spans="2:2" ht="15" customHeight="1" x14ac:dyDescent="0.35">
      <c r="B45"/>
    </row>
    <row r="46" spans="2:2" ht="15" customHeight="1" x14ac:dyDescent="0.35">
      <c r="B46"/>
    </row>
    <row r="47" spans="2:2" ht="15" customHeight="1" x14ac:dyDescent="0.35">
      <c r="B47"/>
    </row>
    <row r="48" spans="2:2" ht="15" customHeight="1" x14ac:dyDescent="0.35">
      <c r="B48"/>
    </row>
    <row r="49" spans="2:2" ht="15" customHeight="1" x14ac:dyDescent="0.35">
      <c r="B49"/>
    </row>
    <row r="50" spans="2:2" ht="15" customHeight="1" x14ac:dyDescent="0.35">
      <c r="B50"/>
    </row>
    <row r="51" spans="2:2" ht="15" customHeight="1" x14ac:dyDescent="0.35">
      <c r="B51"/>
    </row>
    <row r="52" spans="2:2" ht="15" customHeight="1" x14ac:dyDescent="0.35">
      <c r="B52"/>
    </row>
    <row r="53" spans="2:2" ht="15" customHeight="1" x14ac:dyDescent="0.35">
      <c r="B53"/>
    </row>
    <row r="54" spans="2:2" ht="15" customHeight="1" x14ac:dyDescent="0.35">
      <c r="B54"/>
    </row>
    <row r="55" spans="2:2" ht="15" customHeight="1" x14ac:dyDescent="0.35">
      <c r="B55"/>
    </row>
    <row r="56" spans="2:2" ht="15" customHeight="1" x14ac:dyDescent="0.35">
      <c r="B56"/>
    </row>
    <row r="57" spans="2:2" ht="15" customHeight="1" x14ac:dyDescent="0.35">
      <c r="B57"/>
    </row>
    <row r="58" spans="2:2" ht="15" customHeight="1" x14ac:dyDescent="0.35">
      <c r="B58"/>
    </row>
    <row r="59" spans="2:2" ht="15" customHeight="1" x14ac:dyDescent="0.35">
      <c r="B59"/>
    </row>
    <row r="60" spans="2:2" ht="15" customHeight="1" x14ac:dyDescent="0.35">
      <c r="B60"/>
    </row>
    <row r="61" spans="2:2" ht="15" customHeight="1" x14ac:dyDescent="0.35">
      <c r="B61"/>
    </row>
    <row r="62" spans="2:2" ht="15" customHeight="1" x14ac:dyDescent="0.35">
      <c r="B62"/>
    </row>
    <row r="63" spans="2:2" ht="15" customHeight="1" x14ac:dyDescent="0.35">
      <c r="B63"/>
    </row>
    <row r="64" spans="2:2" ht="15" customHeight="1" x14ac:dyDescent="0.35">
      <c r="B6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showGridLines="0" tabSelected="1" zoomScaleNormal="100" workbookViewId="0">
      <selection activeCell="A28" sqref="A28"/>
    </sheetView>
  </sheetViews>
  <sheetFormatPr defaultColWidth="9.1796875" defaultRowHeight="14.5" x14ac:dyDescent="0.35"/>
  <cols>
    <col min="1" max="1" width="25.453125" style="2" customWidth="1"/>
    <col min="2" max="2" width="9.26953125" style="2" customWidth="1"/>
    <col min="3" max="3" width="8.81640625" style="2" customWidth="1"/>
    <col min="4" max="4" width="9.1796875" style="2" customWidth="1"/>
    <col min="5" max="5" width="8.1796875" style="2" customWidth="1"/>
    <col min="6" max="6" width="97.54296875" style="2" customWidth="1"/>
    <col min="7" max="16384" width="9.1796875" style="1"/>
  </cols>
  <sheetData>
    <row r="1" spans="1:6" x14ac:dyDescent="0.35">
      <c r="A1" s="42" t="s">
        <v>31</v>
      </c>
      <c r="B1" s="42" t="s">
        <v>2</v>
      </c>
      <c r="C1" s="42" t="s">
        <v>32</v>
      </c>
      <c r="D1" s="42" t="s">
        <v>33</v>
      </c>
      <c r="E1" s="42" t="s">
        <v>34</v>
      </c>
      <c r="F1" s="42" t="s">
        <v>4</v>
      </c>
    </row>
    <row r="2" spans="1:6" x14ac:dyDescent="0.35">
      <c r="A2" s="34" t="s">
        <v>131</v>
      </c>
      <c r="B2" s="34" t="s">
        <v>7</v>
      </c>
      <c r="C2" s="34">
        <v>0</v>
      </c>
      <c r="D2" s="34">
        <v>100000</v>
      </c>
      <c r="E2" s="34">
        <v>1</v>
      </c>
      <c r="F2" s="34" t="s">
        <v>22</v>
      </c>
    </row>
    <row r="3" spans="1:6" x14ac:dyDescent="0.35">
      <c r="A3" s="34" t="s">
        <v>132</v>
      </c>
      <c r="B3" s="34" t="s">
        <v>7</v>
      </c>
      <c r="C3" s="34">
        <v>0</v>
      </c>
      <c r="D3" s="34">
        <v>50000</v>
      </c>
      <c r="E3" s="34">
        <v>1</v>
      </c>
      <c r="F3" s="34" t="s">
        <v>35</v>
      </c>
    </row>
    <row r="4" spans="1:6" x14ac:dyDescent="0.35">
      <c r="A4" s="14" t="s">
        <v>133</v>
      </c>
      <c r="B4" s="14" t="s">
        <v>7</v>
      </c>
      <c r="C4" s="14">
        <v>0</v>
      </c>
      <c r="D4" s="14">
        <v>200</v>
      </c>
      <c r="E4" s="14">
        <v>1</v>
      </c>
      <c r="F4" s="14" t="s">
        <v>36</v>
      </c>
    </row>
    <row r="5" spans="1:6" x14ac:dyDescent="0.35">
      <c r="A5" s="14" t="s">
        <v>134</v>
      </c>
      <c r="B5" s="14" t="s">
        <v>7</v>
      </c>
      <c r="C5" s="14">
        <v>-100</v>
      </c>
      <c r="D5" s="14">
        <v>100</v>
      </c>
      <c r="E5" s="14">
        <v>1</v>
      </c>
      <c r="F5" s="14" t="s">
        <v>37</v>
      </c>
    </row>
    <row r="6" spans="1:6" x14ac:dyDescent="0.35">
      <c r="A6" s="14" t="s">
        <v>135</v>
      </c>
      <c r="B6" s="14" t="s">
        <v>7</v>
      </c>
      <c r="C6" s="14">
        <v>0</v>
      </c>
      <c r="D6" s="14">
        <v>200</v>
      </c>
      <c r="E6" s="14">
        <v>1</v>
      </c>
      <c r="F6" s="14" t="s">
        <v>38</v>
      </c>
    </row>
    <row r="7" spans="1:6" x14ac:dyDescent="0.35">
      <c r="A7" s="36" t="s">
        <v>136</v>
      </c>
      <c r="B7" s="36" t="s">
        <v>6</v>
      </c>
      <c r="C7" s="36"/>
      <c r="D7" s="36"/>
      <c r="E7" s="36"/>
      <c r="F7" s="36" t="s">
        <v>39</v>
      </c>
    </row>
    <row r="8" spans="1:6" x14ac:dyDescent="0.35">
      <c r="A8" s="36" t="s">
        <v>137</v>
      </c>
      <c r="B8" s="36" t="s">
        <v>6</v>
      </c>
      <c r="C8" s="36"/>
      <c r="D8" s="36"/>
      <c r="E8" s="36"/>
      <c r="F8" s="36" t="s">
        <v>99</v>
      </c>
    </row>
    <row r="9" spans="1:6" x14ac:dyDescent="0.35">
      <c r="A9" s="36" t="s">
        <v>138</v>
      </c>
      <c r="B9" s="36" t="s">
        <v>7</v>
      </c>
      <c r="C9" s="36">
        <v>0</v>
      </c>
      <c r="D9" s="36">
        <v>500</v>
      </c>
      <c r="E9" s="36">
        <v>1</v>
      </c>
      <c r="F9" s="36" t="s">
        <v>40</v>
      </c>
    </row>
    <row r="10" spans="1:6" x14ac:dyDescent="0.35">
      <c r="A10" s="36" t="s">
        <v>139</v>
      </c>
      <c r="B10" s="36" t="s">
        <v>7</v>
      </c>
      <c r="C10" s="36">
        <v>0</v>
      </c>
      <c r="D10" s="36">
        <v>20</v>
      </c>
      <c r="E10" s="36">
        <v>1</v>
      </c>
      <c r="F10" s="36" t="s">
        <v>41</v>
      </c>
    </row>
    <row r="11" spans="1:6" x14ac:dyDescent="0.35">
      <c r="A11" s="36" t="s">
        <v>140</v>
      </c>
      <c r="B11" s="36" t="s">
        <v>6</v>
      </c>
      <c r="C11" s="36"/>
      <c r="D11" s="36"/>
      <c r="E11" s="36"/>
      <c r="F11" s="36" t="s">
        <v>42</v>
      </c>
    </row>
    <row r="12" spans="1:6" x14ac:dyDescent="0.35">
      <c r="A12" s="36" t="s">
        <v>141</v>
      </c>
      <c r="B12" s="36" t="s">
        <v>7</v>
      </c>
      <c r="C12" s="36">
        <v>0</v>
      </c>
      <c r="D12" s="36">
        <v>200</v>
      </c>
      <c r="E12" s="36">
        <v>1</v>
      </c>
      <c r="F12" s="36" t="s">
        <v>43</v>
      </c>
    </row>
    <row r="13" spans="1:6" x14ac:dyDescent="0.35">
      <c r="A13" s="36" t="s">
        <v>142</v>
      </c>
      <c r="B13" s="36" t="s">
        <v>7</v>
      </c>
      <c r="C13" s="36">
        <v>0</v>
      </c>
      <c r="D13" s="36">
        <v>999</v>
      </c>
      <c r="E13" s="36">
        <v>1</v>
      </c>
      <c r="F13" s="36" t="s">
        <v>44</v>
      </c>
    </row>
    <row r="14" spans="1:6" x14ac:dyDescent="0.35">
      <c r="A14" s="36" t="s">
        <v>143</v>
      </c>
      <c r="B14" s="36" t="s">
        <v>7</v>
      </c>
      <c r="C14" s="36">
        <v>0</v>
      </c>
      <c r="D14" s="36">
        <v>500</v>
      </c>
      <c r="E14" s="36">
        <v>1</v>
      </c>
      <c r="F14" s="36" t="s">
        <v>102</v>
      </c>
    </row>
    <row r="15" spans="1:6" x14ac:dyDescent="0.35">
      <c r="A15" s="36" t="s">
        <v>144</v>
      </c>
      <c r="B15" s="36" t="s">
        <v>7</v>
      </c>
      <c r="C15" s="36">
        <v>-100</v>
      </c>
      <c r="D15" s="36">
        <v>100</v>
      </c>
      <c r="E15" s="36">
        <v>1</v>
      </c>
      <c r="F15" s="36" t="s">
        <v>45</v>
      </c>
    </row>
    <row r="16" spans="1:6" x14ac:dyDescent="0.35">
      <c r="A16" s="40" t="s">
        <v>145</v>
      </c>
      <c r="B16" s="40" t="s">
        <v>7</v>
      </c>
      <c r="C16" s="40">
        <v>0</v>
      </c>
      <c r="D16" s="40">
        <v>2.5</v>
      </c>
      <c r="E16" s="40">
        <v>2</v>
      </c>
      <c r="F16" s="40" t="s">
        <v>154</v>
      </c>
    </row>
    <row r="17" spans="1:6" x14ac:dyDescent="0.35">
      <c r="A17" s="40" t="s">
        <v>146</v>
      </c>
      <c r="B17" s="40" t="s">
        <v>7</v>
      </c>
      <c r="C17" s="40">
        <v>1</v>
      </c>
      <c r="D17" s="40">
        <v>50</v>
      </c>
      <c r="E17" s="40">
        <v>1</v>
      </c>
      <c r="F17" s="40" t="s">
        <v>185</v>
      </c>
    </row>
    <row r="18" spans="1:6" x14ac:dyDescent="0.35">
      <c r="A18" s="40" t="s">
        <v>184</v>
      </c>
      <c r="B18" s="40" t="s">
        <v>7</v>
      </c>
      <c r="C18" s="40">
        <v>1</v>
      </c>
      <c r="D18" s="40">
        <v>50</v>
      </c>
      <c r="E18" s="40">
        <v>1</v>
      </c>
      <c r="F18" s="40" t="s">
        <v>187</v>
      </c>
    </row>
    <row r="19" spans="1:6" x14ac:dyDescent="0.35">
      <c r="A19" s="40" t="s">
        <v>148</v>
      </c>
      <c r="B19" s="40" t="s">
        <v>7</v>
      </c>
      <c r="C19" s="40">
        <v>0</v>
      </c>
      <c r="D19" s="40">
        <v>3</v>
      </c>
      <c r="E19" s="40">
        <v>3</v>
      </c>
      <c r="F19" s="40" t="s">
        <v>153</v>
      </c>
    </row>
    <row r="20" spans="1:6" x14ac:dyDescent="0.35">
      <c r="A20" s="40" t="s">
        <v>149</v>
      </c>
      <c r="B20" s="40" t="s">
        <v>7</v>
      </c>
      <c r="C20" s="40">
        <v>0.5</v>
      </c>
      <c r="D20" s="40">
        <v>16</v>
      </c>
      <c r="E20" s="40">
        <v>2</v>
      </c>
      <c r="F20" s="40" t="s">
        <v>186</v>
      </c>
    </row>
    <row r="21" spans="1:6" x14ac:dyDescent="0.35">
      <c r="A21" s="40" t="s">
        <v>189</v>
      </c>
      <c r="B21" s="40" t="s">
        <v>7</v>
      </c>
      <c r="C21" s="40">
        <v>0.5</v>
      </c>
      <c r="D21" s="40">
        <v>16</v>
      </c>
      <c r="E21" s="40">
        <v>2</v>
      </c>
      <c r="F21" s="40" t="s">
        <v>191</v>
      </c>
    </row>
    <row r="22" spans="1:6" x14ac:dyDescent="0.35">
      <c r="A22" s="40" t="s">
        <v>193</v>
      </c>
      <c r="B22" s="40" t="s">
        <v>7</v>
      </c>
      <c r="C22" s="40">
        <v>0</v>
      </c>
      <c r="D22" s="40">
        <v>100</v>
      </c>
      <c r="E22" s="40">
        <v>0</v>
      </c>
      <c r="F22" s="40" t="s">
        <v>194</v>
      </c>
    </row>
    <row r="23" spans="1:6" x14ac:dyDescent="0.35">
      <c r="A23" s="40" t="s">
        <v>150</v>
      </c>
      <c r="B23" s="40" t="s">
        <v>7</v>
      </c>
      <c r="C23" s="40">
        <v>-1</v>
      </c>
      <c r="D23" s="40">
        <v>1</v>
      </c>
      <c r="E23" s="40">
        <v>2</v>
      </c>
      <c r="F23" s="40" t="s">
        <v>151</v>
      </c>
    </row>
    <row r="24" spans="1:6" x14ac:dyDescent="0.35">
      <c r="A24" s="40" t="s">
        <v>152</v>
      </c>
      <c r="B24" s="40" t="s">
        <v>7</v>
      </c>
      <c r="C24" s="40">
        <v>0.2</v>
      </c>
      <c r="D24" s="40">
        <v>6</v>
      </c>
      <c r="E24" s="40">
        <v>2</v>
      </c>
      <c r="F24" s="40" t="s">
        <v>192</v>
      </c>
    </row>
    <row r="25" spans="1:6" x14ac:dyDescent="0.35">
      <c r="A25" s="40" t="s">
        <v>188</v>
      </c>
      <c r="B25" s="40" t="s">
        <v>7</v>
      </c>
      <c r="C25" s="40">
        <v>0.2</v>
      </c>
      <c r="D25" s="40">
        <v>6</v>
      </c>
      <c r="E25" s="40">
        <v>2</v>
      </c>
      <c r="F25" s="40" t="s">
        <v>190</v>
      </c>
    </row>
    <row r="26" spans="1:6" x14ac:dyDescent="0.35">
      <c r="A26" s="40" t="s">
        <v>196</v>
      </c>
      <c r="B26" s="40" t="s">
        <v>7</v>
      </c>
      <c r="C26" s="40">
        <v>0</v>
      </c>
      <c r="D26" s="40">
        <v>100</v>
      </c>
      <c r="E26" s="40">
        <v>0</v>
      </c>
      <c r="F26" s="40" t="s">
        <v>195</v>
      </c>
    </row>
    <row r="27" spans="1:6" x14ac:dyDescent="0.35">
      <c r="A27" s="34" t="s">
        <v>172</v>
      </c>
      <c r="B27" s="34" t="s">
        <v>7</v>
      </c>
      <c r="C27" s="34">
        <v>0</v>
      </c>
      <c r="D27" s="34">
        <v>1</v>
      </c>
      <c r="E27" s="34">
        <v>2</v>
      </c>
      <c r="F27" s="34" t="s">
        <v>174</v>
      </c>
    </row>
    <row r="28" spans="1:6" x14ac:dyDescent="0.35">
      <c r="A28" s="34" t="s">
        <v>173</v>
      </c>
      <c r="B28" s="34" t="s">
        <v>7</v>
      </c>
      <c r="C28" s="34">
        <v>0</v>
      </c>
      <c r="D28" s="34">
        <v>1</v>
      </c>
      <c r="E28" s="34">
        <v>2</v>
      </c>
      <c r="F28" s="34" t="s">
        <v>175</v>
      </c>
    </row>
    <row r="29" spans="1:6" x14ac:dyDescent="0.35">
      <c r="A29" s="32" t="s">
        <v>161</v>
      </c>
      <c r="B29" s="32" t="s">
        <v>7</v>
      </c>
      <c r="C29" s="32">
        <v>0</v>
      </c>
      <c r="D29" s="32">
        <v>101</v>
      </c>
      <c r="E29" s="32">
        <v>2</v>
      </c>
      <c r="F29" s="32" t="s">
        <v>162</v>
      </c>
    </row>
    <row r="30" spans="1:6" x14ac:dyDescent="0.35">
      <c r="A30" s="32" t="s">
        <v>147</v>
      </c>
      <c r="B30" s="32" t="s">
        <v>7</v>
      </c>
      <c r="C30" s="32">
        <v>0</v>
      </c>
      <c r="D30" s="32">
        <v>101</v>
      </c>
      <c r="E30" s="32">
        <v>2</v>
      </c>
      <c r="F30" s="32" t="s">
        <v>46</v>
      </c>
    </row>
    <row r="31" spans="1:6" x14ac:dyDescent="0.35">
      <c r="A31" s="32" t="s">
        <v>155</v>
      </c>
      <c r="B31" s="32" t="s">
        <v>7</v>
      </c>
      <c r="C31" s="32">
        <v>0</v>
      </c>
      <c r="D31" s="32">
        <v>101</v>
      </c>
      <c r="E31" s="32">
        <v>2</v>
      </c>
      <c r="F31" s="32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1"/>
  <sheetViews>
    <sheetView showGridLines="0" zoomScaleNormal="100" workbookViewId="0">
      <selection activeCell="C35" sqref="C35"/>
    </sheetView>
  </sheetViews>
  <sheetFormatPr defaultColWidth="9.1796875" defaultRowHeight="14.5" x14ac:dyDescent="0.35"/>
  <cols>
    <col min="1" max="1" width="18.54296875" style="7" customWidth="1"/>
    <col min="2" max="2" width="12.54296875" style="7" customWidth="1"/>
    <col min="3" max="3" width="16" style="7" customWidth="1"/>
    <col min="4" max="4" width="53.26953125" style="7" customWidth="1"/>
    <col min="5" max="5" width="9.1796875" style="7" customWidth="1"/>
    <col min="6" max="6" width="84" style="7" customWidth="1"/>
    <col min="7" max="16384" width="9.1796875" style="7"/>
  </cols>
  <sheetData>
    <row r="1" spans="1:6" x14ac:dyDescent="0.35">
      <c r="A1" s="6" t="s">
        <v>47</v>
      </c>
      <c r="B1" s="6" t="s">
        <v>0</v>
      </c>
      <c r="C1" s="6" t="s">
        <v>48</v>
      </c>
      <c r="D1" s="6" t="s">
        <v>49</v>
      </c>
      <c r="E1" s="6" t="s">
        <v>50</v>
      </c>
      <c r="F1" s="6" t="s">
        <v>51</v>
      </c>
    </row>
    <row r="2" spans="1:6" x14ac:dyDescent="0.35">
      <c r="A2" s="15" t="s">
        <v>197</v>
      </c>
      <c r="B2" s="19" t="s">
        <v>52</v>
      </c>
      <c r="C2" s="19" t="s">
        <v>100</v>
      </c>
      <c r="D2" s="17" t="s">
        <v>198</v>
      </c>
      <c r="E2" s="25">
        <v>89.18</v>
      </c>
      <c r="F2" s="17"/>
    </row>
    <row r="3" spans="1:6" x14ac:dyDescent="0.35">
      <c r="A3" s="15" t="s">
        <v>208</v>
      </c>
      <c r="B3" s="19" t="s">
        <v>52</v>
      </c>
      <c r="C3" s="19" t="s">
        <v>100</v>
      </c>
      <c r="D3" s="17" t="s">
        <v>205</v>
      </c>
      <c r="E3" s="25">
        <v>89.18</v>
      </c>
      <c r="F3" s="17"/>
    </row>
    <row r="4" spans="1:6" x14ac:dyDescent="0.35">
      <c r="A4" s="18" t="s">
        <v>199</v>
      </c>
      <c r="B4" s="19" t="s">
        <v>53</v>
      </c>
      <c r="C4" s="19" t="s">
        <v>53</v>
      </c>
      <c r="D4" s="19" t="s">
        <v>200</v>
      </c>
      <c r="E4" s="25">
        <f>E2*1.2</f>
        <v>107.01600000000001</v>
      </c>
      <c r="F4" s="19"/>
    </row>
    <row r="5" spans="1:6" x14ac:dyDescent="0.35">
      <c r="A5" s="18" t="s">
        <v>206</v>
      </c>
      <c r="B5" s="19" t="s">
        <v>53</v>
      </c>
      <c r="C5" s="19" t="s">
        <v>53</v>
      </c>
      <c r="D5" s="19" t="s">
        <v>207</v>
      </c>
      <c r="E5" s="25">
        <f>E3*1.2</f>
        <v>107.01600000000001</v>
      </c>
      <c r="F5" s="19"/>
    </row>
    <row r="6" spans="1:6" x14ac:dyDescent="0.35">
      <c r="A6" s="18" t="s">
        <v>201</v>
      </c>
      <c r="B6" s="19" t="s">
        <v>52</v>
      </c>
      <c r="C6" s="19" t="s">
        <v>100</v>
      </c>
      <c r="D6" s="19" t="s">
        <v>202</v>
      </c>
      <c r="E6" s="25">
        <v>15.12</v>
      </c>
      <c r="F6" s="19"/>
    </row>
    <row r="7" spans="1:6" x14ac:dyDescent="0.35">
      <c r="A7" s="18" t="s">
        <v>203</v>
      </c>
      <c r="B7" s="19" t="s">
        <v>53</v>
      </c>
      <c r="C7" s="19" t="s">
        <v>53</v>
      </c>
      <c r="D7" s="19" t="s">
        <v>204</v>
      </c>
      <c r="E7" s="25">
        <v>177.95250000000001</v>
      </c>
      <c r="F7" s="19"/>
    </row>
    <row r="8" spans="1:6" x14ac:dyDescent="0.35">
      <c r="A8" s="20" t="s">
        <v>54</v>
      </c>
      <c r="B8" s="21" t="s">
        <v>55</v>
      </c>
      <c r="C8" s="21" t="s">
        <v>55</v>
      </c>
      <c r="D8" s="21" t="s">
        <v>56</v>
      </c>
      <c r="E8" s="22">
        <v>1</v>
      </c>
      <c r="F8" s="21" t="s">
        <v>57</v>
      </c>
    </row>
    <row r="9" spans="1:6" x14ac:dyDescent="0.35">
      <c r="A9" s="16" t="s">
        <v>93</v>
      </c>
      <c r="B9" s="23" t="s">
        <v>94</v>
      </c>
      <c r="C9" s="23" t="s">
        <v>93</v>
      </c>
      <c r="D9" s="23" t="s">
        <v>95</v>
      </c>
      <c r="E9" s="24">
        <v>100</v>
      </c>
      <c r="F9" s="23" t="s">
        <v>96</v>
      </c>
    </row>
    <row r="10" spans="1:6" x14ac:dyDescent="0.35">
      <c r="A10" s="16" t="s">
        <v>92</v>
      </c>
      <c r="B10" s="23" t="s">
        <v>94</v>
      </c>
      <c r="C10" s="23" t="s">
        <v>92</v>
      </c>
      <c r="D10" s="23" t="s">
        <v>97</v>
      </c>
      <c r="E10" s="24">
        <v>100</v>
      </c>
      <c r="F10" s="23" t="s">
        <v>96</v>
      </c>
    </row>
    <row r="11" spans="1:6" x14ac:dyDescent="0.35">
      <c r="A11" s="23" t="s">
        <v>91</v>
      </c>
      <c r="B11" s="23" t="s">
        <v>94</v>
      </c>
      <c r="C11" s="23" t="s">
        <v>91</v>
      </c>
      <c r="D11" s="23" t="s">
        <v>98</v>
      </c>
      <c r="E11" s="24">
        <v>100</v>
      </c>
      <c r="F11" s="23" t="s">
        <v>96</v>
      </c>
    </row>
  </sheetData>
  <pageMargins left="0.7" right="0.7" top="0.75" bottom="0.75" header="0.3" footer="0.3"/>
  <pageSetup scale="4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"/>
  <sheetViews>
    <sheetView showGridLines="0" zoomScale="85" zoomScaleNormal="85" workbookViewId="0">
      <selection activeCell="E30" sqref="E30"/>
    </sheetView>
  </sheetViews>
  <sheetFormatPr defaultColWidth="9.1796875" defaultRowHeight="15" customHeight="1" x14ac:dyDescent="0.35"/>
  <cols>
    <col min="1" max="2" width="25.7265625" style="2" customWidth="1"/>
    <col min="3" max="15" width="15.7265625" style="2" customWidth="1"/>
    <col min="16" max="16384" width="9.1796875" style="2"/>
  </cols>
  <sheetData>
    <row r="1" spans="1:15" ht="15" customHeight="1" x14ac:dyDescent="0.35">
      <c r="A1" s="8" t="s">
        <v>58</v>
      </c>
      <c r="B1" s="8" t="s">
        <v>59</v>
      </c>
      <c r="C1" s="9" t="s">
        <v>60</v>
      </c>
      <c r="D1" s="10" t="s">
        <v>61</v>
      </c>
      <c r="E1" s="9" t="s">
        <v>62</v>
      </c>
      <c r="F1" s="11" t="s">
        <v>63</v>
      </c>
      <c r="G1" s="10" t="s">
        <v>64</v>
      </c>
      <c r="H1" s="9" t="s">
        <v>65</v>
      </c>
      <c r="I1" s="11" t="s">
        <v>66</v>
      </c>
      <c r="J1" s="10" t="s">
        <v>67</v>
      </c>
      <c r="K1" s="9" t="s">
        <v>68</v>
      </c>
      <c r="L1" s="11" t="s">
        <v>69</v>
      </c>
      <c r="M1" s="10" t="s">
        <v>70</v>
      </c>
      <c r="N1" s="8" t="s">
        <v>71</v>
      </c>
      <c r="O1" s="8" t="s">
        <v>72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showGridLines="0" zoomScale="85" zoomScaleNormal="85" workbookViewId="0">
      <selection activeCell="C18" sqref="C18"/>
    </sheetView>
  </sheetViews>
  <sheetFormatPr defaultColWidth="9.1796875" defaultRowHeight="14.5" x14ac:dyDescent="0.35"/>
  <cols>
    <col min="1" max="1" width="15.7265625" style="1" customWidth="1"/>
    <col min="2" max="2" width="27.1796875" style="1" customWidth="1"/>
    <col min="3" max="4" width="10.7265625" style="1" customWidth="1"/>
    <col min="5" max="5" width="9.1796875" style="1"/>
    <col min="6" max="6" width="12.26953125" style="1" customWidth="1"/>
    <col min="7" max="7" width="14.1796875" style="1" customWidth="1"/>
    <col min="8" max="8" width="9.1796875" style="1"/>
    <col min="9" max="9" width="11.26953125" style="1" customWidth="1"/>
    <col min="10" max="10" width="14.1796875" style="1" customWidth="1"/>
    <col min="11" max="16384" width="9.1796875" style="1"/>
  </cols>
  <sheetData>
    <row r="1" spans="1:10" x14ac:dyDescent="0.35">
      <c r="A1" s="12" t="s">
        <v>73</v>
      </c>
      <c r="B1" s="12" t="s">
        <v>74</v>
      </c>
      <c r="C1" s="12" t="s">
        <v>75</v>
      </c>
      <c r="D1" s="12" t="s">
        <v>76</v>
      </c>
      <c r="F1"/>
      <c r="G1"/>
      <c r="I1"/>
      <c r="J1"/>
    </row>
    <row r="2" spans="1:10" x14ac:dyDescent="0.35">
      <c r="A2" s="13" t="s">
        <v>77</v>
      </c>
      <c r="B2" s="13" t="s">
        <v>78</v>
      </c>
      <c r="C2" s="13">
        <v>10.38</v>
      </c>
      <c r="D2" s="13">
        <v>1</v>
      </c>
      <c r="F2"/>
      <c r="G2"/>
    </row>
    <row r="3" spans="1:10" x14ac:dyDescent="0.35">
      <c r="A3" s="13" t="s">
        <v>77</v>
      </c>
      <c r="B3" s="13" t="s">
        <v>79</v>
      </c>
      <c r="C3" s="13">
        <v>39.630000000000003</v>
      </c>
      <c r="D3" s="13">
        <v>-1</v>
      </c>
      <c r="F3"/>
      <c r="G3"/>
    </row>
    <row r="4" spans="1:10" x14ac:dyDescent="0.35">
      <c r="A4" s="13" t="s">
        <v>80</v>
      </c>
      <c r="B4" s="13" t="s">
        <v>131</v>
      </c>
      <c r="C4" s="13">
        <v>16.29</v>
      </c>
      <c r="D4" s="13">
        <v>1</v>
      </c>
    </row>
    <row r="5" spans="1:10" x14ac:dyDescent="0.35">
      <c r="A5" s="13" t="s">
        <v>80</v>
      </c>
      <c r="B5" s="14" t="s">
        <v>143</v>
      </c>
      <c r="C5" s="14">
        <v>5.72</v>
      </c>
      <c r="D5" s="13">
        <v>1</v>
      </c>
    </row>
    <row r="6" spans="1:10" x14ac:dyDescent="0.35">
      <c r="A6" s="13" t="s">
        <v>101</v>
      </c>
      <c r="B6" s="14" t="s">
        <v>108</v>
      </c>
      <c r="C6" s="14">
        <v>49.45</v>
      </c>
      <c r="D6" s="1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showGridLines="0" zoomScale="85" zoomScaleNormal="85" workbookViewId="0">
      <selection activeCell="C2" sqref="C2"/>
    </sheetView>
  </sheetViews>
  <sheetFormatPr defaultColWidth="9.1796875" defaultRowHeight="14.5" x14ac:dyDescent="0.35"/>
  <cols>
    <col min="1" max="1" width="17.54296875" style="1" customWidth="1"/>
    <col min="2" max="2" width="20.1796875" style="1" customWidth="1"/>
    <col min="3" max="3" width="17.54296875" style="1" customWidth="1"/>
    <col min="4" max="4" width="35.26953125" style="1" customWidth="1"/>
    <col min="5" max="16384" width="9.1796875" style="1"/>
  </cols>
  <sheetData>
    <row r="1" spans="1:4" x14ac:dyDescent="0.35">
      <c r="A1" s="3" t="s">
        <v>81</v>
      </c>
      <c r="B1" s="3" t="s">
        <v>82</v>
      </c>
      <c r="C1" s="3" t="s">
        <v>83</v>
      </c>
      <c r="D1" s="3" t="s">
        <v>4</v>
      </c>
    </row>
    <row r="2" spans="1:4" x14ac:dyDescent="0.35">
      <c r="A2" s="4" t="s">
        <v>143</v>
      </c>
      <c r="B2" s="4" t="s">
        <v>84</v>
      </c>
      <c r="C2" s="4" t="s">
        <v>161</v>
      </c>
      <c r="D2" s="4" t="s">
        <v>85</v>
      </c>
    </row>
    <row r="3" spans="1:4" x14ac:dyDescent="0.35">
      <c r="A3" s="4" t="s">
        <v>146</v>
      </c>
      <c r="B3" s="4" t="s">
        <v>84</v>
      </c>
      <c r="C3" s="4" t="s">
        <v>147</v>
      </c>
      <c r="D3" s="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input_headers</vt:lpstr>
      <vt:lpstr>parameters</vt:lpstr>
      <vt:lpstr>treatments</vt:lpstr>
      <vt:lpstr>bca_strategies</vt:lpstr>
      <vt:lpstr>mcda_setup</vt:lpstr>
      <vt:lpstr>network_functions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Fritz Jooste</cp:lastModifiedBy>
  <cp:lastPrinted>2025-09-05T21:15:45Z</cp:lastPrinted>
  <dcterms:modified xsi:type="dcterms:W3CDTF">2026-03-24T20:51:42Z</dcterms:modified>
</cp:coreProperties>
</file>