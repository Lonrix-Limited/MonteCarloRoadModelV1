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anet\Juno Services Dropbox\Local_Authorities\Hutt_City (Lower Hutt)\2025_26\cassandra\inputs\"/>
    </mc:Choice>
  </mc:AlternateContent>
  <xr:revisionPtr revIDLastSave="0" documentId="13_ncr:1_{095160BB-85E2-43CC-A8A0-E44FBB523C5C}" xr6:coauthVersionLast="47" xr6:coauthVersionMax="47" xr10:uidLastSave="{00000000-0000-0000-0000-000000000000}"/>
  <bookViews>
    <workbookView xWindow="3285" yWindow="3165" windowWidth="38700" windowHeight="15345" tabRatio="809" activeTab="3" xr2:uid="{00000000-000D-0000-FFFF-FFFF00000000}"/>
  </bookViews>
  <sheets>
    <sheet name="budget_forecast" sheetId="25" r:id="rId1"/>
    <sheet name="summary" sheetId="37" r:id="rId2"/>
    <sheet name="budget_increase" sheetId="32" r:id="rId3"/>
    <sheet name="budget_optimal" sheetId="29" r:id="rId4"/>
    <sheet name="budget_current" sheetId="36" r:id="rId5"/>
    <sheet name="budget_low" sheetId="38" r:id="rId6"/>
  </sheets>
  <definedNames>
    <definedName name="statistics_cod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36" l="1"/>
  <c r="D4" i="36"/>
  <c r="D5" i="36"/>
  <c r="D6" i="36"/>
  <c r="D7" i="36"/>
  <c r="D7" i="38" s="1"/>
  <c r="D8" i="36"/>
  <c r="D8" i="38" s="1"/>
  <c r="D9" i="36"/>
  <c r="D10" i="36"/>
  <c r="D10" i="38" s="1"/>
  <c r="D11" i="36"/>
  <c r="D12" i="36"/>
  <c r="D13" i="36"/>
  <c r="D14" i="36"/>
  <c r="D15" i="36"/>
  <c r="D15" i="38" s="1"/>
  <c r="D16" i="36"/>
  <c r="D16" i="38" s="1"/>
  <c r="D17" i="36"/>
  <c r="D18" i="36"/>
  <c r="D18" i="38" s="1"/>
  <c r="D19" i="36"/>
  <c r="D20" i="36"/>
  <c r="D21" i="36"/>
  <c r="D22" i="36"/>
  <c r="D23" i="36"/>
  <c r="D23" i="38" s="1"/>
  <c r="D24" i="36"/>
  <c r="D24" i="38" s="1"/>
  <c r="D25" i="36"/>
  <c r="D26" i="36"/>
  <c r="D26" i="38" s="1"/>
  <c r="D27" i="36"/>
  <c r="D28" i="36"/>
  <c r="D29" i="36"/>
  <c r="D30" i="36"/>
  <c r="D31" i="36"/>
  <c r="D31" i="38" s="1"/>
  <c r="D32" i="36"/>
  <c r="D32" i="38" s="1"/>
  <c r="D33" i="36"/>
  <c r="D34" i="36"/>
  <c r="D34" i="38" s="1"/>
  <c r="D35" i="36"/>
  <c r="D36" i="36"/>
  <c r="D2" i="36"/>
  <c r="D2" i="38" s="1"/>
  <c r="B3" i="38"/>
  <c r="C3" i="38"/>
  <c r="D3" i="38"/>
  <c r="B4" i="38"/>
  <c r="C4" i="38"/>
  <c r="D4" i="38"/>
  <c r="B5" i="38"/>
  <c r="C5" i="38"/>
  <c r="D5" i="38"/>
  <c r="B6" i="38"/>
  <c r="C6" i="38"/>
  <c r="D6" i="38"/>
  <c r="B7" i="38"/>
  <c r="C7" i="38"/>
  <c r="B8" i="38"/>
  <c r="C8" i="38"/>
  <c r="B9" i="38"/>
  <c r="C9" i="38"/>
  <c r="D9" i="38"/>
  <c r="B10" i="38"/>
  <c r="C10" i="38"/>
  <c r="B11" i="38"/>
  <c r="C11" i="38"/>
  <c r="D11" i="38"/>
  <c r="B12" i="38"/>
  <c r="C12" i="38"/>
  <c r="D12" i="38"/>
  <c r="B13" i="38"/>
  <c r="C13" i="38"/>
  <c r="D13" i="38"/>
  <c r="B14" i="38"/>
  <c r="C14" i="38"/>
  <c r="D14" i="38"/>
  <c r="B15" i="38"/>
  <c r="C15" i="38"/>
  <c r="B16" i="38"/>
  <c r="C16" i="38"/>
  <c r="B17" i="38"/>
  <c r="C17" i="38"/>
  <c r="D17" i="38"/>
  <c r="B18" i="38"/>
  <c r="C18" i="38"/>
  <c r="B19" i="38"/>
  <c r="C19" i="38"/>
  <c r="D19" i="38"/>
  <c r="B20" i="38"/>
  <c r="C20" i="38"/>
  <c r="D20" i="38"/>
  <c r="B21" i="38"/>
  <c r="C21" i="38"/>
  <c r="D21" i="38"/>
  <c r="B22" i="38"/>
  <c r="C22" i="38"/>
  <c r="D22" i="38"/>
  <c r="B23" i="38"/>
  <c r="C23" i="38"/>
  <c r="B24" i="38"/>
  <c r="C24" i="38"/>
  <c r="B25" i="38"/>
  <c r="C25" i="38"/>
  <c r="D25" i="38"/>
  <c r="B26" i="38"/>
  <c r="C26" i="38"/>
  <c r="B27" i="38"/>
  <c r="C27" i="38"/>
  <c r="D27" i="38"/>
  <c r="B28" i="38"/>
  <c r="C28" i="38"/>
  <c r="D28" i="38"/>
  <c r="B29" i="38"/>
  <c r="C29" i="38"/>
  <c r="D29" i="38"/>
  <c r="B30" i="38"/>
  <c r="C30" i="38"/>
  <c r="D30" i="38"/>
  <c r="B31" i="38"/>
  <c r="C31" i="38"/>
  <c r="B32" i="38"/>
  <c r="C32" i="38"/>
  <c r="B33" i="38"/>
  <c r="C33" i="38"/>
  <c r="D33" i="38"/>
  <c r="B34" i="38"/>
  <c r="C34" i="38"/>
  <c r="B35" i="38"/>
  <c r="C35" i="38"/>
  <c r="D35" i="38"/>
  <c r="B36" i="38"/>
  <c r="C36" i="38"/>
  <c r="D36" i="38"/>
  <c r="C2" i="38"/>
  <c r="B2" i="38"/>
  <c r="B2" i="29"/>
  <c r="B3" i="29"/>
  <c r="B4" i="29"/>
  <c r="B5" i="29"/>
  <c r="B6" i="29"/>
  <c r="B7" i="29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AA33" i="37" l="1"/>
  <c r="AB33" i="37"/>
  <c r="Z33" i="37"/>
  <c r="U18" i="37"/>
  <c r="U19" i="37"/>
  <c r="T4" i="37"/>
  <c r="U4" i="37" s="1"/>
  <c r="T5" i="37"/>
  <c r="U5" i="37" s="1"/>
  <c r="T6" i="37"/>
  <c r="U6" i="37" s="1"/>
  <c r="T7" i="37"/>
  <c r="U7" i="37" s="1"/>
  <c r="T8" i="37"/>
  <c r="U8" i="37" s="1"/>
  <c r="T9" i="37"/>
  <c r="U9" i="37" s="1"/>
  <c r="T10" i="37"/>
  <c r="U10" i="37" s="1"/>
  <c r="T11" i="37"/>
  <c r="U11" i="37" s="1"/>
  <c r="T12" i="37"/>
  <c r="U12" i="37" s="1"/>
  <c r="T13" i="37"/>
  <c r="U13" i="37" s="1"/>
  <c r="T14" i="37"/>
  <c r="U14" i="37" s="1"/>
  <c r="T15" i="37"/>
  <c r="U15" i="37" s="1"/>
  <c r="T16" i="37"/>
  <c r="U16" i="37" s="1"/>
  <c r="T17" i="37"/>
  <c r="U17" i="37" s="1"/>
  <c r="T18" i="37"/>
  <c r="T19" i="37"/>
  <c r="T20" i="37"/>
  <c r="U20" i="37" s="1"/>
  <c r="T21" i="37"/>
  <c r="U21" i="37" s="1"/>
  <c r="T22" i="37"/>
  <c r="U22" i="37" s="1"/>
  <c r="T23" i="37"/>
  <c r="U23" i="37" s="1"/>
  <c r="T24" i="37"/>
  <c r="U24" i="37" s="1"/>
  <c r="T25" i="37"/>
  <c r="U25" i="37" s="1"/>
  <c r="T26" i="37"/>
  <c r="U26" i="37" s="1"/>
  <c r="T27" i="37"/>
  <c r="U27" i="37" s="1"/>
  <c r="T28" i="37"/>
  <c r="U28" i="37" s="1"/>
  <c r="T29" i="37"/>
  <c r="U29" i="37" s="1"/>
  <c r="T30" i="37"/>
  <c r="U30" i="37" s="1"/>
  <c r="T31" i="37"/>
  <c r="U31" i="37" s="1"/>
  <c r="T32" i="37"/>
  <c r="U32" i="37" s="1"/>
  <c r="T3" i="37"/>
  <c r="U3" i="37" s="1"/>
  <c r="L5" i="37"/>
  <c r="L6" i="37"/>
  <c r="L7" i="37"/>
  <c r="L8" i="37"/>
  <c r="L9" i="37"/>
  <c r="L10" i="37"/>
  <c r="L11" i="37"/>
  <c r="L12" i="37"/>
  <c r="L13" i="37"/>
  <c r="L14" i="37"/>
  <c r="L15" i="37"/>
  <c r="L16" i="37"/>
  <c r="L17" i="37"/>
  <c r="L18" i="37"/>
  <c r="L19" i="37"/>
  <c r="L20" i="37"/>
  <c r="L21" i="37"/>
  <c r="L22" i="37"/>
  <c r="L23" i="37"/>
  <c r="L24" i="37"/>
  <c r="L25" i="37"/>
  <c r="L26" i="37"/>
  <c r="L27" i="37"/>
  <c r="L28" i="37"/>
  <c r="L29" i="37"/>
  <c r="L30" i="37"/>
  <c r="L31" i="37"/>
  <c r="L32" i="37"/>
  <c r="L33" i="37"/>
  <c r="L34" i="37"/>
  <c r="L35" i="37"/>
  <c r="L36" i="37"/>
  <c r="L37" i="37"/>
  <c r="L38" i="37"/>
  <c r="L39" i="37"/>
  <c r="L40" i="37"/>
  <c r="L41" i="37"/>
  <c r="L42" i="37"/>
  <c r="L43" i="37"/>
  <c r="L44" i="37"/>
  <c r="L45" i="37"/>
  <c r="L46" i="37"/>
  <c r="L47" i="37"/>
  <c r="L48" i="37"/>
  <c r="L49" i="37"/>
  <c r="L50" i="37"/>
  <c r="L51" i="37"/>
  <c r="L52" i="37"/>
  <c r="L53" i="37"/>
  <c r="L54" i="37"/>
  <c r="L55" i="37"/>
  <c r="L56" i="37"/>
  <c r="L57" i="37"/>
  <c r="L58" i="37"/>
  <c r="L59" i="37"/>
  <c r="L60" i="37"/>
  <c r="L61" i="37"/>
  <c r="L62" i="37"/>
  <c r="L63" i="37"/>
  <c r="L64" i="37"/>
  <c r="L65" i="37"/>
  <c r="L66" i="37"/>
  <c r="L67" i="37"/>
  <c r="L68" i="37"/>
  <c r="L69" i="37"/>
  <c r="L70" i="37"/>
  <c r="L71" i="37"/>
  <c r="L72" i="37"/>
  <c r="L73" i="37"/>
  <c r="L74" i="37"/>
  <c r="L75" i="37"/>
  <c r="L76" i="37"/>
  <c r="L77" i="37"/>
  <c r="L78" i="37"/>
  <c r="L79" i="37"/>
  <c r="L80" i="37"/>
  <c r="L81" i="37"/>
  <c r="L82" i="37"/>
  <c r="L83" i="37"/>
  <c r="L84" i="37"/>
  <c r="L85" i="37"/>
  <c r="L86" i="37"/>
  <c r="L87" i="37"/>
  <c r="L88" i="37"/>
  <c r="L89" i="37"/>
  <c r="L90" i="37"/>
  <c r="L91" i="37"/>
  <c r="L92" i="37"/>
  <c r="L93" i="37"/>
  <c r="L4" i="37"/>
  <c r="E7" i="37"/>
  <c r="G5" i="37"/>
  <c r="F5" i="37"/>
  <c r="E5" i="37"/>
  <c r="F7" i="37" l="1"/>
  <c r="G7" i="37"/>
  <c r="D6" i="32"/>
  <c r="D8" i="32"/>
  <c r="B3" i="32"/>
  <c r="C3" i="32"/>
  <c r="B4" i="32"/>
  <c r="C4" i="32"/>
  <c r="D4" i="32"/>
  <c r="B5" i="32"/>
  <c r="C5" i="32"/>
  <c r="D5" i="32"/>
  <c r="B6" i="32"/>
  <c r="C6" i="32"/>
  <c r="B7" i="32"/>
  <c r="C7" i="32"/>
  <c r="D7" i="32"/>
  <c r="B8" i="32"/>
  <c r="C8" i="32"/>
  <c r="B9" i="32"/>
  <c r="C9" i="32"/>
  <c r="D9" i="32"/>
  <c r="B10" i="32"/>
  <c r="C10" i="32"/>
  <c r="D10" i="32"/>
  <c r="B11" i="32"/>
  <c r="C11" i="32"/>
  <c r="B12" i="32"/>
  <c r="C12" i="32"/>
  <c r="D12" i="32"/>
  <c r="B13" i="32"/>
  <c r="C13" i="32"/>
  <c r="D13" i="32"/>
  <c r="B14" i="32"/>
  <c r="C14" i="32"/>
  <c r="D14" i="32"/>
  <c r="B15" i="32"/>
  <c r="C15" i="32"/>
  <c r="D15" i="32"/>
  <c r="B16" i="32"/>
  <c r="C16" i="32"/>
  <c r="D16" i="32"/>
  <c r="B17" i="32"/>
  <c r="C17" i="32"/>
  <c r="D17" i="32"/>
  <c r="B18" i="32"/>
  <c r="C18" i="32"/>
  <c r="D18" i="32"/>
  <c r="B19" i="32"/>
  <c r="C19" i="32"/>
  <c r="B20" i="32"/>
  <c r="C20" i="32"/>
  <c r="D20" i="32"/>
  <c r="B21" i="32"/>
  <c r="C21" i="32"/>
  <c r="D21" i="32"/>
  <c r="B22" i="32"/>
  <c r="C22" i="32"/>
  <c r="D22" i="32"/>
  <c r="B23" i="32"/>
  <c r="C23" i="32"/>
  <c r="D23" i="32"/>
  <c r="B24" i="32"/>
  <c r="C24" i="32"/>
  <c r="D24" i="32"/>
  <c r="B25" i="32"/>
  <c r="C25" i="32"/>
  <c r="D25" i="32"/>
  <c r="B26" i="32"/>
  <c r="C26" i="32"/>
  <c r="D26" i="32"/>
  <c r="B27" i="32"/>
  <c r="C27" i="32"/>
  <c r="B28" i="32"/>
  <c r="C28" i="32"/>
  <c r="D28" i="32"/>
  <c r="B29" i="32"/>
  <c r="C29" i="32"/>
  <c r="D29" i="32"/>
  <c r="B30" i="32"/>
  <c r="C30" i="32"/>
  <c r="D30" i="32"/>
  <c r="B31" i="32"/>
  <c r="C31" i="32"/>
  <c r="D31" i="32"/>
  <c r="C2" i="32"/>
  <c r="F6" i="37" s="1"/>
  <c r="D2" i="32"/>
  <c r="B2" i="32"/>
  <c r="E6" i="37" s="1"/>
  <c r="D3" i="32" l="1"/>
  <c r="D27" i="32"/>
  <c r="D11" i="32"/>
  <c r="D19" i="32"/>
  <c r="G6" i="37" l="1"/>
</calcChain>
</file>

<file path=xl/sharedStrings.xml><?xml version="1.0" encoding="utf-8"?>
<sst xmlns="http://schemas.openxmlformats.org/spreadsheetml/2006/main" count="180" uniqueCount="21">
  <si>
    <t>period</t>
  </si>
  <si>
    <t>Maintenance</t>
  </si>
  <si>
    <t>BlockRep</t>
  </si>
  <si>
    <t>ConcRep</t>
  </si>
  <si>
    <t>Xtreat</t>
  </si>
  <si>
    <t>Resurfacing</t>
  </si>
  <si>
    <t>Rehab</t>
  </si>
  <si>
    <t>This tableshows increase factors</t>
  </si>
  <si>
    <t>p</t>
  </si>
  <si>
    <t>Resurf</t>
  </si>
  <si>
    <t>PreS</t>
  </si>
  <si>
    <t>Reh</t>
  </si>
  <si>
    <t>Pre-Repairs</t>
  </si>
  <si>
    <t>increased</t>
  </si>
  <si>
    <t>optimal</t>
  </si>
  <si>
    <t>current</t>
  </si>
  <si>
    <t>budget_category</t>
  </si>
  <si>
    <t>total</t>
  </si>
  <si>
    <t>cost</t>
  </si>
  <si>
    <t>pre repairs</t>
  </si>
  <si>
    <t>resurfacing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</si>
</sst>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##,##0;\(##,##0\)"/>
    <numFmt numFmtId="165" formatCode="_-&quot;$&quot;* #,##0_-;\-&quot;$&quot;* #,##0_-;_-&quot;$&quot;* &quot;-&quot;??_-;_-@_-"/>
    <numFmt numFmtId="166" formatCode="#,##0_ ;\-#,##0\ 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 Light"/>
      <family val="2"/>
      <scheme val="maj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0" fillId="5" borderId="1" xfId="0" applyFill="1" applyBorder="1" applyAlignment="1">
      <alignment horizontal="center"/>
    </xf>
    <xf numFmtId="43" fontId="0" fillId="0" borderId="0" xfId="1" applyFont="1"/>
    <xf numFmtId="164" fontId="4" fillId="6" borderId="1" xfId="0" applyNumberFormat="1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center"/>
    </xf>
    <xf numFmtId="0" fontId="5" fillId="0" borderId="0" xfId="0" applyFont="1"/>
    <xf numFmtId="43" fontId="0" fillId="0" borderId="0" xfId="0" applyNumberFormat="1"/>
    <xf numFmtId="3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164" fontId="4" fillId="6" borderId="0" xfId="0" applyNumberFormat="1" applyFont="1" applyFill="1" applyAlignment="1">
      <alignment horizontal="right" wrapText="1"/>
    </xf>
    <xf numFmtId="0" fontId="0" fillId="3" borderId="0" xfId="0" applyFill="1"/>
    <xf numFmtId="43" fontId="0" fillId="2" borderId="2" xfId="1" applyFont="1" applyFill="1" applyBorder="1"/>
    <xf numFmtId="165" fontId="5" fillId="2" borderId="1" xfId="2" applyNumberFormat="1" applyFont="1" applyFill="1" applyBorder="1" applyAlignment="1">
      <alignment horizontal="center"/>
    </xf>
    <xf numFmtId="44" fontId="0" fillId="0" borderId="0" xfId="0" applyNumberFormat="1"/>
    <xf numFmtId="0" fontId="0" fillId="2" borderId="2" xfId="0" applyFill="1" applyBorder="1"/>
    <xf numFmtId="165" fontId="0" fillId="0" borderId="0" xfId="2" applyNumberFormat="1" applyFont="1"/>
    <xf numFmtId="165" fontId="1" fillId="8" borderId="0" xfId="2" applyNumberFormat="1" applyFont="1" applyFill="1"/>
    <xf numFmtId="166" fontId="0" fillId="2" borderId="2" xfId="1" applyNumberFormat="1" applyFont="1" applyFill="1" applyBorder="1" applyAlignment="1">
      <alignment horizontal="center"/>
    </xf>
    <xf numFmtId="43" fontId="0" fillId="2" borderId="0" xfId="1" applyFont="1" applyFill="1" applyBorder="1"/>
    <xf numFmtId="43" fontId="0" fillId="0" borderId="0" xfId="1" applyFont="1" applyFill="1" applyBorder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0</xdr:colOff>
      <xdr:row>10</xdr:row>
      <xdr:rowOff>0</xdr:rowOff>
    </xdr:from>
    <xdr:to>
      <xdr:col>26</xdr:col>
      <xdr:colOff>304800</xdr:colOff>
      <xdr:row>11</xdr:row>
      <xdr:rowOff>114300</xdr:rowOff>
    </xdr:to>
    <xdr:sp macro="" textlink="">
      <xdr:nvSpPr>
        <xdr:cNvPr id="4099" name="AutoShape 3">
          <a:extLst>
            <a:ext uri="{FF2B5EF4-FFF2-40B4-BE49-F238E27FC236}">
              <a16:creationId xmlns:a16="http://schemas.microsoft.com/office/drawing/2014/main" id="{D1CDEF90-7AF6-4E1F-4A63-B5E91976CB81}"/>
            </a:ext>
          </a:extLst>
        </xdr:cNvPr>
        <xdr:cNvSpPr>
          <a:spLocks noChangeAspect="1" noChangeArrowheads="1"/>
        </xdr:cNvSpPr>
      </xdr:nvSpPr>
      <xdr:spPr bwMode="auto">
        <a:xfrm>
          <a:off x="15897225" y="19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304800</xdr:colOff>
      <xdr:row>18</xdr:row>
      <xdr:rowOff>114300</xdr:rowOff>
    </xdr:to>
    <xdr:sp macro="" textlink="">
      <xdr:nvSpPr>
        <xdr:cNvPr id="4101" name="AutoShape 5">
          <a:extLst>
            <a:ext uri="{FF2B5EF4-FFF2-40B4-BE49-F238E27FC236}">
              <a16:creationId xmlns:a16="http://schemas.microsoft.com/office/drawing/2014/main" id="{5C4609C5-18EF-94D7-AC28-DCAC921E053E}"/>
            </a:ext>
          </a:extLst>
        </xdr:cNvPr>
        <xdr:cNvSpPr>
          <a:spLocks noChangeAspect="1" noChangeArrowheads="1"/>
        </xdr:cNvSpPr>
      </xdr:nvSpPr>
      <xdr:spPr bwMode="auto">
        <a:xfrm>
          <a:off x="12849225" y="32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E0A7-E842-4E71-8BE3-693D7D0F8888}">
  <dimension ref="A1:O36"/>
  <sheetViews>
    <sheetView zoomScaleNormal="100" workbookViewId="0">
      <selection activeCell="I9" sqref="I9"/>
    </sheetView>
  </sheetViews>
  <sheetFormatPr defaultRowHeight="15" x14ac:dyDescent="0.25"/>
  <cols>
    <col min="1" max="1" width="9.140625" style="7"/>
    <col min="2" max="2" width="10.85546875" customWidth="1"/>
    <col min="3" max="3" width="13.42578125" customWidth="1"/>
    <col min="4" max="4" width="13.7109375" bestFit="1" customWidth="1"/>
    <col min="5" max="5" width="12.5703125" bestFit="1" customWidth="1"/>
    <col min="6" max="7" width="11.140625" bestFit="1" customWidth="1"/>
    <col min="8" max="8" width="10.85546875" bestFit="1" customWidth="1"/>
    <col min="9" max="9" width="13.28515625" bestFit="1" customWidth="1"/>
    <col min="13" max="13" width="14.28515625" bestFit="1" customWidth="1"/>
    <col min="14" max="14" width="11.5703125" bestFit="1" customWidth="1"/>
    <col min="15" max="15" width="10.5703125" bestFit="1" customWidth="1"/>
  </cols>
  <sheetData>
    <row r="1" spans="1:15" x14ac:dyDescent="0.25">
      <c r="A1" s="3" t="s">
        <v>0</v>
      </c>
      <c r="B1" s="3" t="s">
        <v>6</v>
      </c>
      <c r="C1" s="3" t="s">
        <v>5</v>
      </c>
      <c r="D1" s="3" t="s">
        <v>12</v>
      </c>
      <c r="E1" s="3" t="s">
        <v>1</v>
      </c>
      <c r="F1" s="3" t="s">
        <v>2</v>
      </c>
      <c r="G1" s="3" t="s">
        <v>3</v>
      </c>
      <c r="H1" s="3" t="s">
        <v>4</v>
      </c>
    </row>
    <row r="2" spans="1:15" x14ac:dyDescent="0.25">
      <c r="A2" s="6">
        <v>1</v>
      </c>
      <c r="B2" s="5">
        <v>999999999</v>
      </c>
      <c r="C2" s="5">
        <v>999999999</v>
      </c>
      <c r="D2" s="5">
        <v>999999999</v>
      </c>
      <c r="E2" s="5">
        <v>999999999</v>
      </c>
      <c r="F2" s="5">
        <v>999999999</v>
      </c>
      <c r="G2" s="5">
        <v>999999999</v>
      </c>
      <c r="H2" s="5">
        <v>999999999</v>
      </c>
      <c r="I2" s="4"/>
      <c r="M2" s="4"/>
      <c r="N2" s="4"/>
      <c r="O2" s="8"/>
    </row>
    <row r="3" spans="1:15" x14ac:dyDescent="0.25">
      <c r="A3" s="6">
        <v>2</v>
      </c>
      <c r="B3" s="5">
        <v>999999999</v>
      </c>
      <c r="C3" s="5">
        <v>999999999</v>
      </c>
      <c r="D3" s="5">
        <v>999999999</v>
      </c>
      <c r="E3" s="5">
        <v>999999999</v>
      </c>
      <c r="F3" s="5">
        <v>999999999</v>
      </c>
      <c r="G3" s="5">
        <v>999999999</v>
      </c>
      <c r="H3" s="5">
        <v>999999999</v>
      </c>
      <c r="I3" s="4"/>
    </row>
    <row r="4" spans="1:15" x14ac:dyDescent="0.25">
      <c r="A4" s="6">
        <v>3</v>
      </c>
      <c r="B4" s="5">
        <v>999999999</v>
      </c>
      <c r="C4" s="5">
        <v>999999999</v>
      </c>
      <c r="D4" s="5">
        <v>999999999</v>
      </c>
      <c r="E4" s="5">
        <v>999999999</v>
      </c>
      <c r="F4" s="5">
        <v>999999999</v>
      </c>
      <c r="G4" s="5">
        <v>999999999</v>
      </c>
      <c r="H4" s="5">
        <v>999999999</v>
      </c>
      <c r="I4" s="4"/>
    </row>
    <row r="5" spans="1:15" x14ac:dyDescent="0.25">
      <c r="A5" s="6">
        <v>4</v>
      </c>
      <c r="B5" s="5">
        <v>999999999</v>
      </c>
      <c r="C5" s="5">
        <v>999999999</v>
      </c>
      <c r="D5" s="5">
        <v>999999999</v>
      </c>
      <c r="E5" s="5">
        <v>999999999</v>
      </c>
      <c r="F5" s="5">
        <v>999999999</v>
      </c>
      <c r="G5" s="5">
        <v>999999999</v>
      </c>
      <c r="H5" s="5">
        <v>999999999</v>
      </c>
      <c r="I5" s="4"/>
    </row>
    <row r="6" spans="1:15" x14ac:dyDescent="0.25">
      <c r="A6" s="6">
        <v>5</v>
      </c>
      <c r="B6" s="5">
        <v>999999999</v>
      </c>
      <c r="C6" s="5">
        <v>999999999</v>
      </c>
      <c r="D6" s="5">
        <v>999999999</v>
      </c>
      <c r="E6" s="5">
        <v>999999999</v>
      </c>
      <c r="F6" s="5">
        <v>999999999</v>
      </c>
      <c r="G6" s="5">
        <v>999999999</v>
      </c>
      <c r="H6" s="5">
        <v>999999999</v>
      </c>
      <c r="I6" s="4"/>
    </row>
    <row r="7" spans="1:15" x14ac:dyDescent="0.25">
      <c r="A7" s="6">
        <v>6</v>
      </c>
      <c r="B7" s="5">
        <v>999999999</v>
      </c>
      <c r="C7" s="5">
        <v>999999999</v>
      </c>
      <c r="D7" s="5">
        <v>999999999</v>
      </c>
      <c r="E7" s="5">
        <v>999999999</v>
      </c>
      <c r="F7" s="5">
        <v>999999999</v>
      </c>
      <c r="G7" s="5">
        <v>999999999</v>
      </c>
      <c r="H7" s="5">
        <v>999999999</v>
      </c>
      <c r="I7" s="4"/>
    </row>
    <row r="8" spans="1:15" x14ac:dyDescent="0.25">
      <c r="A8" s="6">
        <v>7</v>
      </c>
      <c r="B8" s="5">
        <v>999999999</v>
      </c>
      <c r="C8" s="5">
        <v>999999999</v>
      </c>
      <c r="D8" s="5">
        <v>999999999</v>
      </c>
      <c r="E8" s="5">
        <v>999999999</v>
      </c>
      <c r="F8" s="5">
        <v>999999999</v>
      </c>
      <c r="G8" s="5">
        <v>999999999</v>
      </c>
      <c r="H8" s="5">
        <v>999999999</v>
      </c>
      <c r="I8" s="4"/>
    </row>
    <row r="9" spans="1:15" x14ac:dyDescent="0.25">
      <c r="A9" s="6">
        <v>8</v>
      </c>
      <c r="B9" s="5">
        <v>999999999</v>
      </c>
      <c r="C9" s="5">
        <v>999999999</v>
      </c>
      <c r="D9" s="5">
        <v>999999999</v>
      </c>
      <c r="E9" s="5">
        <v>999999999</v>
      </c>
      <c r="F9" s="5">
        <v>999999999</v>
      </c>
      <c r="G9" s="5">
        <v>999999999</v>
      </c>
      <c r="H9" s="5">
        <v>999999999</v>
      </c>
      <c r="I9" s="4"/>
    </row>
    <row r="10" spans="1:15" x14ac:dyDescent="0.25">
      <c r="A10" s="6">
        <v>9</v>
      </c>
      <c r="B10" s="5">
        <v>999999999</v>
      </c>
      <c r="C10" s="5">
        <v>999999999</v>
      </c>
      <c r="D10" s="5">
        <v>999999999</v>
      </c>
      <c r="E10" s="5">
        <v>999999999</v>
      </c>
      <c r="F10" s="5">
        <v>999999999</v>
      </c>
      <c r="G10" s="5">
        <v>999999999</v>
      </c>
      <c r="H10" s="5">
        <v>999999999</v>
      </c>
      <c r="I10" s="4"/>
    </row>
    <row r="11" spans="1:15" x14ac:dyDescent="0.25">
      <c r="A11" s="6">
        <v>10</v>
      </c>
      <c r="B11" s="5">
        <v>999999999</v>
      </c>
      <c r="C11" s="5">
        <v>999999999</v>
      </c>
      <c r="D11" s="5">
        <v>999999999</v>
      </c>
      <c r="E11" s="5">
        <v>999999999</v>
      </c>
      <c r="F11" s="5">
        <v>999999999</v>
      </c>
      <c r="G11" s="5">
        <v>999999999</v>
      </c>
      <c r="H11" s="5">
        <v>999999999</v>
      </c>
      <c r="I11" s="4"/>
    </row>
    <row r="12" spans="1:15" x14ac:dyDescent="0.25">
      <c r="A12" s="6">
        <v>11</v>
      </c>
      <c r="B12" s="5">
        <v>999999999</v>
      </c>
      <c r="C12" s="5">
        <v>999999999</v>
      </c>
      <c r="D12" s="5">
        <v>999999999</v>
      </c>
      <c r="E12" s="5">
        <v>999999999</v>
      </c>
      <c r="F12" s="5">
        <v>999999999</v>
      </c>
      <c r="G12" s="5">
        <v>999999999</v>
      </c>
      <c r="H12" s="5">
        <v>999999999</v>
      </c>
      <c r="I12" s="4"/>
    </row>
    <row r="13" spans="1:15" x14ac:dyDescent="0.25">
      <c r="A13" s="6">
        <v>12</v>
      </c>
      <c r="B13" s="5">
        <v>999999999</v>
      </c>
      <c r="C13" s="5">
        <v>999999999</v>
      </c>
      <c r="D13" s="5">
        <v>999999999</v>
      </c>
      <c r="E13" s="5">
        <v>999999999</v>
      </c>
      <c r="F13" s="5">
        <v>999999999</v>
      </c>
      <c r="G13" s="5">
        <v>999999999</v>
      </c>
      <c r="H13" s="5">
        <v>999999999</v>
      </c>
      <c r="I13" s="4"/>
    </row>
    <row r="14" spans="1:15" x14ac:dyDescent="0.25">
      <c r="A14" s="6">
        <v>13</v>
      </c>
      <c r="B14" s="5">
        <v>999999999</v>
      </c>
      <c r="C14" s="5">
        <v>999999999</v>
      </c>
      <c r="D14" s="5">
        <v>999999999</v>
      </c>
      <c r="E14" s="5">
        <v>999999999</v>
      </c>
      <c r="F14" s="5">
        <v>999999999</v>
      </c>
      <c r="G14" s="5">
        <v>999999999</v>
      </c>
      <c r="H14" s="5">
        <v>999999999</v>
      </c>
      <c r="I14" s="4"/>
    </row>
    <row r="15" spans="1:15" x14ac:dyDescent="0.25">
      <c r="A15" s="6">
        <v>14</v>
      </c>
      <c r="B15" s="5">
        <v>999999999</v>
      </c>
      <c r="C15" s="5">
        <v>999999999</v>
      </c>
      <c r="D15" s="5">
        <v>999999999</v>
      </c>
      <c r="E15" s="5">
        <v>999999999</v>
      </c>
      <c r="F15" s="5">
        <v>999999999</v>
      </c>
      <c r="G15" s="5">
        <v>999999999</v>
      </c>
      <c r="H15" s="5">
        <v>999999999</v>
      </c>
      <c r="I15" s="4"/>
    </row>
    <row r="16" spans="1:15" x14ac:dyDescent="0.25">
      <c r="A16" s="6">
        <v>15</v>
      </c>
      <c r="B16" s="5">
        <v>999999999</v>
      </c>
      <c r="C16" s="5">
        <v>999999999</v>
      </c>
      <c r="D16" s="5">
        <v>999999999</v>
      </c>
      <c r="E16" s="5">
        <v>999999999</v>
      </c>
      <c r="F16" s="5">
        <v>999999999</v>
      </c>
      <c r="G16" s="5">
        <v>999999999</v>
      </c>
      <c r="H16" s="5">
        <v>999999999</v>
      </c>
      <c r="I16" s="4"/>
    </row>
    <row r="17" spans="1:9" x14ac:dyDescent="0.25">
      <c r="A17" s="6">
        <v>16</v>
      </c>
      <c r="B17" s="5">
        <v>999999999</v>
      </c>
      <c r="C17" s="5">
        <v>999999999</v>
      </c>
      <c r="D17" s="5">
        <v>999999999</v>
      </c>
      <c r="E17" s="5">
        <v>999999999</v>
      </c>
      <c r="F17" s="5">
        <v>999999999</v>
      </c>
      <c r="G17" s="5">
        <v>999999999</v>
      </c>
      <c r="H17" s="5">
        <v>999999999</v>
      </c>
      <c r="I17" s="4"/>
    </row>
    <row r="18" spans="1:9" x14ac:dyDescent="0.25">
      <c r="A18" s="6">
        <v>17</v>
      </c>
      <c r="B18" s="5">
        <v>999999999</v>
      </c>
      <c r="C18" s="5">
        <v>999999999</v>
      </c>
      <c r="D18" s="5">
        <v>999999999</v>
      </c>
      <c r="E18" s="5">
        <v>999999999</v>
      </c>
      <c r="F18" s="5">
        <v>999999999</v>
      </c>
      <c r="G18" s="5">
        <v>999999999</v>
      </c>
      <c r="H18" s="5">
        <v>999999999</v>
      </c>
    </row>
    <row r="19" spans="1:9" x14ac:dyDescent="0.25">
      <c r="A19" s="6">
        <v>18</v>
      </c>
      <c r="B19" s="5">
        <v>999999999</v>
      </c>
      <c r="C19" s="5">
        <v>999999999</v>
      </c>
      <c r="D19" s="5">
        <v>999999999</v>
      </c>
      <c r="E19" s="5">
        <v>999999999</v>
      </c>
      <c r="F19" s="5">
        <v>999999999</v>
      </c>
      <c r="G19" s="5">
        <v>999999999</v>
      </c>
      <c r="H19" s="5">
        <v>999999999</v>
      </c>
    </row>
    <row r="20" spans="1:9" x14ac:dyDescent="0.25">
      <c r="A20" s="6">
        <v>19</v>
      </c>
      <c r="B20" s="5">
        <v>999999999</v>
      </c>
      <c r="C20" s="5">
        <v>999999999</v>
      </c>
      <c r="D20" s="5">
        <v>999999999</v>
      </c>
      <c r="E20" s="5">
        <v>999999999</v>
      </c>
      <c r="F20" s="5">
        <v>999999999</v>
      </c>
      <c r="G20" s="5">
        <v>999999999</v>
      </c>
      <c r="H20" s="5">
        <v>999999999</v>
      </c>
    </row>
    <row r="21" spans="1:9" x14ac:dyDescent="0.25">
      <c r="A21" s="6">
        <v>20</v>
      </c>
      <c r="B21" s="5">
        <v>999999999</v>
      </c>
      <c r="C21" s="5">
        <v>999999999</v>
      </c>
      <c r="D21" s="5">
        <v>999999999</v>
      </c>
      <c r="E21" s="5">
        <v>999999999</v>
      </c>
      <c r="F21" s="5">
        <v>999999999</v>
      </c>
      <c r="G21" s="5">
        <v>999999999</v>
      </c>
      <c r="H21" s="5">
        <v>999999999</v>
      </c>
    </row>
    <row r="22" spans="1:9" x14ac:dyDescent="0.25">
      <c r="A22" s="6">
        <v>21</v>
      </c>
      <c r="B22" s="5">
        <v>999999999</v>
      </c>
      <c r="C22" s="5">
        <v>999999999</v>
      </c>
      <c r="D22" s="5">
        <v>999999999</v>
      </c>
      <c r="E22" s="5">
        <v>999999999</v>
      </c>
      <c r="F22" s="5">
        <v>999999999</v>
      </c>
      <c r="G22" s="5">
        <v>999999999</v>
      </c>
      <c r="H22" s="5">
        <v>999999999</v>
      </c>
    </row>
    <row r="23" spans="1:9" x14ac:dyDescent="0.25">
      <c r="A23" s="6">
        <v>22</v>
      </c>
      <c r="B23" s="5">
        <v>999999999</v>
      </c>
      <c r="C23" s="5">
        <v>999999999</v>
      </c>
      <c r="D23" s="5">
        <v>999999999</v>
      </c>
      <c r="E23" s="5">
        <v>999999999</v>
      </c>
      <c r="F23" s="5">
        <v>999999999</v>
      </c>
      <c r="G23" s="5">
        <v>999999999</v>
      </c>
      <c r="H23" s="5">
        <v>999999999</v>
      </c>
    </row>
    <row r="24" spans="1:9" x14ac:dyDescent="0.25">
      <c r="A24" s="6">
        <v>23</v>
      </c>
      <c r="B24" s="5">
        <v>999999999</v>
      </c>
      <c r="C24" s="5">
        <v>999999999</v>
      </c>
      <c r="D24" s="5">
        <v>999999999</v>
      </c>
      <c r="E24" s="5">
        <v>999999999</v>
      </c>
      <c r="F24" s="5">
        <v>999999999</v>
      </c>
      <c r="G24" s="5">
        <v>999999999</v>
      </c>
      <c r="H24" s="5">
        <v>999999999</v>
      </c>
    </row>
    <row r="25" spans="1:9" x14ac:dyDescent="0.25">
      <c r="A25" s="6">
        <v>24</v>
      </c>
      <c r="B25" s="5">
        <v>999999999</v>
      </c>
      <c r="C25" s="5">
        <v>999999999</v>
      </c>
      <c r="D25" s="5">
        <v>999999999</v>
      </c>
      <c r="E25" s="5">
        <v>999999999</v>
      </c>
      <c r="F25" s="5">
        <v>999999999</v>
      </c>
      <c r="G25" s="5">
        <v>999999999</v>
      </c>
      <c r="H25" s="5">
        <v>999999999</v>
      </c>
    </row>
    <row r="26" spans="1:9" x14ac:dyDescent="0.25">
      <c r="A26" s="6">
        <v>25</v>
      </c>
      <c r="B26" s="5">
        <v>999999999</v>
      </c>
      <c r="C26" s="5">
        <v>999999999</v>
      </c>
      <c r="D26" s="5">
        <v>999999999</v>
      </c>
      <c r="E26" s="5">
        <v>999999999</v>
      </c>
      <c r="F26" s="5">
        <v>999999999</v>
      </c>
      <c r="G26" s="5">
        <v>999999999</v>
      </c>
      <c r="H26" s="5">
        <v>999999999</v>
      </c>
    </row>
    <row r="27" spans="1:9" x14ac:dyDescent="0.25">
      <c r="A27" s="6">
        <v>26</v>
      </c>
      <c r="B27" s="5">
        <v>999999999</v>
      </c>
      <c r="C27" s="5">
        <v>999999999</v>
      </c>
      <c r="D27" s="5">
        <v>999999999</v>
      </c>
      <c r="E27" s="5">
        <v>999999999</v>
      </c>
      <c r="F27" s="5">
        <v>999999999</v>
      </c>
      <c r="G27" s="5">
        <v>999999999</v>
      </c>
      <c r="H27" s="5">
        <v>999999999</v>
      </c>
    </row>
    <row r="28" spans="1:9" x14ac:dyDescent="0.25">
      <c r="A28" s="6">
        <v>27</v>
      </c>
      <c r="B28" s="5">
        <v>999999999</v>
      </c>
      <c r="C28" s="5">
        <v>999999999</v>
      </c>
      <c r="D28" s="5">
        <v>999999999</v>
      </c>
      <c r="E28" s="5">
        <v>999999999</v>
      </c>
      <c r="F28" s="5">
        <v>999999999</v>
      </c>
      <c r="G28" s="5">
        <v>999999999</v>
      </c>
      <c r="H28" s="5">
        <v>999999999</v>
      </c>
    </row>
    <row r="29" spans="1:9" x14ac:dyDescent="0.25">
      <c r="A29" s="6">
        <v>28</v>
      </c>
      <c r="B29" s="5">
        <v>999999999</v>
      </c>
      <c r="C29" s="5">
        <v>999999999</v>
      </c>
      <c r="D29" s="5">
        <v>999999999</v>
      </c>
      <c r="E29" s="5">
        <v>999999999</v>
      </c>
      <c r="F29" s="5">
        <v>999999999</v>
      </c>
      <c r="G29" s="5">
        <v>999999999</v>
      </c>
      <c r="H29" s="5">
        <v>999999999</v>
      </c>
    </row>
    <row r="30" spans="1:9" x14ac:dyDescent="0.25">
      <c r="A30" s="6">
        <v>29</v>
      </c>
      <c r="B30" s="5">
        <v>999999999</v>
      </c>
      <c r="C30" s="5">
        <v>999999999</v>
      </c>
      <c r="D30" s="5">
        <v>999999999</v>
      </c>
      <c r="E30" s="5">
        <v>999999999</v>
      </c>
      <c r="F30" s="5">
        <v>999999999</v>
      </c>
      <c r="G30" s="5">
        <v>999999999</v>
      </c>
      <c r="H30" s="5">
        <v>999999999</v>
      </c>
    </row>
    <row r="31" spans="1:9" x14ac:dyDescent="0.25">
      <c r="A31" s="6">
        <v>30</v>
      </c>
      <c r="B31" s="5">
        <v>999999999</v>
      </c>
      <c r="C31" s="5">
        <v>999999999</v>
      </c>
      <c r="D31" s="5">
        <v>999999999</v>
      </c>
      <c r="E31" s="5">
        <v>999999999</v>
      </c>
      <c r="F31" s="5">
        <v>999999999</v>
      </c>
      <c r="G31" s="5">
        <v>999999999</v>
      </c>
      <c r="H31" s="5">
        <v>999999999</v>
      </c>
    </row>
    <row r="32" spans="1:9" x14ac:dyDescent="0.25">
      <c r="A32" s="6">
        <v>31</v>
      </c>
      <c r="B32" s="5">
        <v>999999999</v>
      </c>
      <c r="C32" s="5">
        <v>999999999</v>
      </c>
      <c r="D32" s="5">
        <v>999999999</v>
      </c>
      <c r="E32" s="5">
        <v>999999999</v>
      </c>
      <c r="F32" s="5">
        <v>999999999</v>
      </c>
      <c r="G32" s="5">
        <v>999999999</v>
      </c>
      <c r="H32" s="5">
        <v>999999999</v>
      </c>
    </row>
    <row r="33" spans="1:8" x14ac:dyDescent="0.25">
      <c r="A33" s="6">
        <v>32</v>
      </c>
      <c r="B33" s="5">
        <v>999999999</v>
      </c>
      <c r="C33" s="5">
        <v>999999999</v>
      </c>
      <c r="D33" s="5">
        <v>999999999</v>
      </c>
      <c r="E33" s="5">
        <v>999999999</v>
      </c>
      <c r="F33" s="5">
        <v>999999999</v>
      </c>
      <c r="G33" s="5">
        <v>999999999</v>
      </c>
      <c r="H33" s="5">
        <v>999999999</v>
      </c>
    </row>
    <row r="34" spans="1:8" x14ac:dyDescent="0.25">
      <c r="A34" s="6">
        <v>33</v>
      </c>
      <c r="B34" s="5">
        <v>999999999</v>
      </c>
      <c r="C34" s="5">
        <v>999999999</v>
      </c>
      <c r="D34" s="5">
        <v>999999999</v>
      </c>
      <c r="E34" s="5">
        <v>999999999</v>
      </c>
      <c r="F34" s="5">
        <v>999999999</v>
      </c>
      <c r="G34" s="5">
        <v>999999999</v>
      </c>
      <c r="H34" s="5">
        <v>999999999</v>
      </c>
    </row>
    <row r="35" spans="1:8" x14ac:dyDescent="0.25">
      <c r="A35" s="6">
        <v>34</v>
      </c>
      <c r="B35" s="5">
        <v>999999999</v>
      </c>
      <c r="C35" s="5">
        <v>999999999</v>
      </c>
      <c r="D35" s="5">
        <v>999999999</v>
      </c>
      <c r="E35" s="5">
        <v>999999999</v>
      </c>
      <c r="F35" s="5">
        <v>999999999</v>
      </c>
      <c r="G35" s="5">
        <v>999999999</v>
      </c>
      <c r="H35" s="5">
        <v>999999999</v>
      </c>
    </row>
    <row r="36" spans="1:8" x14ac:dyDescent="0.25">
      <c r="A36" s="6">
        <v>35</v>
      </c>
      <c r="B36" s="5">
        <v>999999999</v>
      </c>
      <c r="C36" s="5">
        <v>999999999</v>
      </c>
      <c r="D36" s="5">
        <v>999999999</v>
      </c>
      <c r="E36" s="5">
        <v>999999999</v>
      </c>
      <c r="F36" s="5">
        <v>999999999</v>
      </c>
      <c r="G36" s="5">
        <v>999999999</v>
      </c>
      <c r="H36" s="5">
        <v>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3AAA3-24AD-4853-BC37-A03CAE293E1C}">
  <dimension ref="D2:AB93"/>
  <sheetViews>
    <sheetView workbookViewId="0">
      <selection activeCell="G7" sqref="G7"/>
    </sheetView>
  </sheetViews>
  <sheetFormatPr defaultRowHeight="15" x14ac:dyDescent="0.25"/>
  <cols>
    <col min="3" max="3" width="6.85546875" bestFit="1" customWidth="1"/>
    <col min="4" max="4" width="12" bestFit="1" customWidth="1"/>
    <col min="5" max="7" width="15.28515625" bestFit="1" customWidth="1"/>
    <col min="12" max="12" width="14.42578125" bestFit="1" customWidth="1"/>
    <col min="14" max="14" width="16" bestFit="1" customWidth="1"/>
    <col min="15" max="15" width="12" bestFit="1" customWidth="1"/>
    <col min="19" max="19" width="11.28515625" bestFit="1" customWidth="1"/>
    <col min="20" max="20" width="14.42578125" bestFit="1" customWidth="1"/>
    <col min="21" max="21" width="11.28515625" customWidth="1"/>
    <col min="22" max="22" width="6.5703125" bestFit="1" customWidth="1"/>
    <col min="23" max="23" width="11.28515625" bestFit="1" customWidth="1"/>
    <col min="26" max="28" width="15.28515625" bestFit="1" customWidth="1"/>
  </cols>
  <sheetData>
    <row r="2" spans="4:28" x14ac:dyDescent="0.25">
      <c r="U2" t="s">
        <v>18</v>
      </c>
      <c r="V2" t="s">
        <v>6</v>
      </c>
      <c r="W2" t="s">
        <v>5</v>
      </c>
      <c r="Z2" t="s">
        <v>19</v>
      </c>
      <c r="AA2" t="s">
        <v>6</v>
      </c>
      <c r="AB2" t="s">
        <v>20</v>
      </c>
    </row>
    <row r="3" spans="4:28" x14ac:dyDescent="0.25">
      <c r="M3" t="s">
        <v>0</v>
      </c>
      <c r="N3" t="s">
        <v>16</v>
      </c>
      <c r="O3" t="s">
        <v>17</v>
      </c>
      <c r="R3">
        <v>1</v>
      </c>
      <c r="S3" t="s">
        <v>5</v>
      </c>
      <c r="T3" t="str">
        <f>R3&amp;"_"&amp;S3</f>
        <v>1_Resurfacing</v>
      </c>
      <c r="U3">
        <f>VLOOKUP(T3,$L$4:$O$93,4,FALSE)</f>
        <v>22936594.170000002</v>
      </c>
      <c r="Z3" s="21">
        <v>26949286.09</v>
      </c>
      <c r="AA3" s="21">
        <v>32147563.129999999</v>
      </c>
      <c r="AB3" s="21">
        <v>22936594.170000002</v>
      </c>
    </row>
    <row r="4" spans="4:28" x14ac:dyDescent="0.25">
      <c r="E4" s="3" t="s">
        <v>6</v>
      </c>
      <c r="F4" s="3" t="s">
        <v>5</v>
      </c>
      <c r="G4" s="3" t="s">
        <v>12</v>
      </c>
      <c r="L4" t="str">
        <f>M4&amp;"_"&amp;N4</f>
        <v>1_Pre-Repairs</v>
      </c>
      <c r="M4">
        <v>1</v>
      </c>
      <c r="N4" t="s">
        <v>12</v>
      </c>
      <c r="O4">
        <v>26949286.09</v>
      </c>
      <c r="R4">
        <v>2</v>
      </c>
      <c r="S4" t="s">
        <v>5</v>
      </c>
      <c r="T4" t="str">
        <f t="shared" ref="T4:T32" si="0">R4&amp;"_"&amp;S4</f>
        <v>2_Resurfacing</v>
      </c>
      <c r="U4">
        <f t="shared" ref="U4:U32" si="1">VLOOKUP(T4,$L$4:$O$93,4,FALSE)</f>
        <v>22533192.059999999</v>
      </c>
      <c r="Z4" s="21">
        <v>27708052.079999998</v>
      </c>
      <c r="AA4" s="21">
        <v>32332138.02</v>
      </c>
      <c r="AB4" s="21">
        <v>22533192.059999999</v>
      </c>
    </row>
    <row r="5" spans="4:28" x14ac:dyDescent="0.25">
      <c r="D5" t="s">
        <v>15</v>
      </c>
      <c r="E5" s="21">
        <f>AVERAGE(budget_current!B2:B31)</f>
        <v>5041257</v>
      </c>
      <c r="F5" s="21">
        <f>AVERAGE(budget_current!C2:C31)</f>
        <v>3553943</v>
      </c>
      <c r="G5" s="21">
        <f>AVERAGE(budget_current!D2:D31)</f>
        <v>1776971.5</v>
      </c>
      <c r="L5" t="str">
        <f t="shared" ref="L5:L68" si="2">M5&amp;"_"&amp;N5</f>
        <v>1_Rehab</v>
      </c>
      <c r="M5">
        <v>1</v>
      </c>
      <c r="N5" t="s">
        <v>6</v>
      </c>
      <c r="O5">
        <v>32147563.129999999</v>
      </c>
      <c r="R5">
        <v>3</v>
      </c>
      <c r="S5" t="s">
        <v>5</v>
      </c>
      <c r="T5" t="str">
        <f t="shared" si="0"/>
        <v>3_Resurfacing</v>
      </c>
      <c r="U5">
        <f t="shared" si="1"/>
        <v>30427470</v>
      </c>
      <c r="Z5" s="21">
        <v>30881494.25</v>
      </c>
      <c r="AA5" s="21">
        <v>40003602.969999999</v>
      </c>
      <c r="AB5" s="21">
        <v>30427470</v>
      </c>
    </row>
    <row r="6" spans="4:28" x14ac:dyDescent="0.25">
      <c r="D6" t="s">
        <v>13</v>
      </c>
      <c r="E6" s="21">
        <f>AVERAGE(budget_increase!B2:B31)</f>
        <v>6049508.4000000032</v>
      </c>
      <c r="F6" s="21">
        <f>AVERAGE(budget_increase!C2:C31)</f>
        <v>4264731.5999999978</v>
      </c>
      <c r="G6" s="21">
        <f>AVERAGE(budget_increase!D2:D31)</f>
        <v>2132365.7999999989</v>
      </c>
      <c r="L6" t="str">
        <f t="shared" si="2"/>
        <v>1_Resurfacing</v>
      </c>
      <c r="M6">
        <v>1</v>
      </c>
      <c r="N6" t="s">
        <v>5</v>
      </c>
      <c r="O6">
        <v>22936594.170000002</v>
      </c>
      <c r="R6">
        <v>4</v>
      </c>
      <c r="S6" t="s">
        <v>5</v>
      </c>
      <c r="T6" t="str">
        <f t="shared" si="0"/>
        <v>4_Resurfacing</v>
      </c>
      <c r="U6">
        <f t="shared" si="1"/>
        <v>30607918.006359302</v>
      </c>
      <c r="Z6" s="21">
        <v>11727116.453640699</v>
      </c>
      <c r="AA6" s="21">
        <v>40562538.140000001</v>
      </c>
      <c r="AB6" s="21">
        <v>30607918.006359302</v>
      </c>
    </row>
    <row r="7" spans="4:28" x14ac:dyDescent="0.25">
      <c r="D7" t="s">
        <v>14</v>
      </c>
      <c r="E7" s="21">
        <f>AVERAGE(budget_optimal!B2:B31)</f>
        <v>25206285</v>
      </c>
      <c r="F7" s="21">
        <f>AVERAGE(budget_optimal!C2:C31)</f>
        <v>6000000</v>
      </c>
      <c r="G7" s="21">
        <f>AVERAGE(budget_optimal!D2:D31)</f>
        <v>3500000</v>
      </c>
      <c r="L7" t="str">
        <f t="shared" si="2"/>
        <v>2_Pre-Repairs</v>
      </c>
      <c r="M7">
        <v>2</v>
      </c>
      <c r="N7" t="s">
        <v>12</v>
      </c>
      <c r="O7">
        <v>27708052.079999998</v>
      </c>
      <c r="R7">
        <v>5</v>
      </c>
      <c r="S7" t="s">
        <v>5</v>
      </c>
      <c r="T7" t="str">
        <f t="shared" si="0"/>
        <v>5_Resurfacing</v>
      </c>
      <c r="U7">
        <f t="shared" si="1"/>
        <v>33237485.492695</v>
      </c>
      <c r="Z7" s="21">
        <v>5722595.4673049599</v>
      </c>
      <c r="AA7" s="21">
        <v>33117023</v>
      </c>
      <c r="AB7" s="21">
        <v>33237485.492695</v>
      </c>
    </row>
    <row r="8" spans="4:28" x14ac:dyDescent="0.25">
      <c r="L8" t="str">
        <f t="shared" si="2"/>
        <v>2_Rehab</v>
      </c>
      <c r="M8">
        <v>2</v>
      </c>
      <c r="N8" t="s">
        <v>6</v>
      </c>
      <c r="O8">
        <v>32332138.02</v>
      </c>
      <c r="R8">
        <v>6</v>
      </c>
      <c r="S8" t="s">
        <v>5</v>
      </c>
      <c r="T8" t="str">
        <f t="shared" si="0"/>
        <v>6_Resurfacing</v>
      </c>
      <c r="U8">
        <f t="shared" si="1"/>
        <v>38492711.512253098</v>
      </c>
      <c r="Z8" s="21">
        <v>18178689.357746899</v>
      </c>
      <c r="AA8" s="21">
        <v>35685974</v>
      </c>
      <c r="AB8" s="21">
        <v>38492711.512253098</v>
      </c>
    </row>
    <row r="9" spans="4:28" x14ac:dyDescent="0.25">
      <c r="L9" t="str">
        <f t="shared" si="2"/>
        <v>2_Resurfacing</v>
      </c>
      <c r="M9">
        <v>2</v>
      </c>
      <c r="N9" t="s">
        <v>5</v>
      </c>
      <c r="O9">
        <v>22533192.059999999</v>
      </c>
      <c r="R9">
        <v>7</v>
      </c>
      <c r="S9" t="s">
        <v>5</v>
      </c>
      <c r="T9" t="str">
        <f t="shared" si="0"/>
        <v>7_Resurfacing</v>
      </c>
      <c r="U9">
        <f t="shared" si="1"/>
        <v>41209742.287072897</v>
      </c>
      <c r="Z9" s="21">
        <v>14466231.6929271</v>
      </c>
      <c r="AA9" s="21">
        <v>47033561</v>
      </c>
      <c r="AB9" s="21">
        <v>41209742.287072897</v>
      </c>
    </row>
    <row r="10" spans="4:28" x14ac:dyDescent="0.25">
      <c r="L10" t="str">
        <f t="shared" si="2"/>
        <v>3_Pre-Repairs</v>
      </c>
      <c r="M10">
        <v>3</v>
      </c>
      <c r="N10" t="s">
        <v>12</v>
      </c>
      <c r="O10">
        <v>30881494.25</v>
      </c>
      <c r="R10">
        <v>8</v>
      </c>
      <c r="S10" t="s">
        <v>5</v>
      </c>
      <c r="T10" t="str">
        <f t="shared" si="0"/>
        <v>8_Resurfacing</v>
      </c>
      <c r="U10">
        <f t="shared" si="1"/>
        <v>41948799.966750197</v>
      </c>
      <c r="Z10" s="21">
        <v>15589345.8332498</v>
      </c>
      <c r="AA10" s="21">
        <v>44889428.619999997</v>
      </c>
      <c r="AB10" s="21">
        <v>41948799.966750197</v>
      </c>
    </row>
    <row r="11" spans="4:28" x14ac:dyDescent="0.25">
      <c r="L11" t="str">
        <f t="shared" si="2"/>
        <v>3_Rehab</v>
      </c>
      <c r="M11">
        <v>3</v>
      </c>
      <c r="N11" t="s">
        <v>6</v>
      </c>
      <c r="O11">
        <v>40003602.969999999</v>
      </c>
      <c r="R11">
        <v>9</v>
      </c>
      <c r="S11" t="s">
        <v>5</v>
      </c>
      <c r="T11" t="str">
        <f t="shared" si="0"/>
        <v>9_Resurfacing</v>
      </c>
      <c r="U11">
        <f t="shared" si="1"/>
        <v>50099895.009997003</v>
      </c>
      <c r="Z11" s="21">
        <v>20970340.370003</v>
      </c>
      <c r="AA11" s="21">
        <v>46137618</v>
      </c>
      <c r="AB11" s="21">
        <v>50099895.009997003</v>
      </c>
    </row>
    <row r="12" spans="4:28" x14ac:dyDescent="0.25">
      <c r="L12" t="str">
        <f t="shared" si="2"/>
        <v>3_Resurfacing</v>
      </c>
      <c r="M12">
        <v>3</v>
      </c>
      <c r="N12" t="s">
        <v>5</v>
      </c>
      <c r="O12">
        <v>30427470</v>
      </c>
      <c r="R12">
        <v>10</v>
      </c>
      <c r="S12" t="s">
        <v>5</v>
      </c>
      <c r="T12" t="str">
        <f t="shared" si="0"/>
        <v>10_Resurfacing</v>
      </c>
      <c r="U12">
        <f t="shared" si="1"/>
        <v>52279253.029238097</v>
      </c>
      <c r="Z12" s="21">
        <v>13198492.5907619</v>
      </c>
      <c r="AA12" s="21">
        <v>47377914</v>
      </c>
      <c r="AB12" s="21">
        <v>52279253.029238097</v>
      </c>
    </row>
    <row r="13" spans="4:28" x14ac:dyDescent="0.25">
      <c r="L13" t="str">
        <f t="shared" si="2"/>
        <v>4_Pre-Repairs</v>
      </c>
      <c r="M13">
        <v>4</v>
      </c>
      <c r="N13" t="s">
        <v>12</v>
      </c>
      <c r="O13">
        <v>11727116.453640699</v>
      </c>
      <c r="R13">
        <v>11</v>
      </c>
      <c r="S13" t="s">
        <v>5</v>
      </c>
      <c r="T13" t="str">
        <f t="shared" si="0"/>
        <v>11_Resurfacing</v>
      </c>
      <c r="U13">
        <f t="shared" si="1"/>
        <v>73835413.052847102</v>
      </c>
      <c r="Z13" s="21">
        <v>19876164.427152898</v>
      </c>
      <c r="AA13" s="21">
        <v>39212914</v>
      </c>
      <c r="AB13" s="21">
        <v>73835413.052847102</v>
      </c>
    </row>
    <row r="14" spans="4:28" x14ac:dyDescent="0.25">
      <c r="L14" t="str">
        <f t="shared" si="2"/>
        <v>4_Rehab</v>
      </c>
      <c r="M14">
        <v>4</v>
      </c>
      <c r="N14" t="s">
        <v>6</v>
      </c>
      <c r="O14">
        <v>40562538.140000001</v>
      </c>
      <c r="R14">
        <v>12</v>
      </c>
      <c r="S14" t="s">
        <v>5</v>
      </c>
      <c r="T14" t="str">
        <f t="shared" si="0"/>
        <v>12_Resurfacing</v>
      </c>
      <c r="U14">
        <f t="shared" si="1"/>
        <v>57199803.0422519</v>
      </c>
      <c r="Z14" s="21">
        <v>18742433.3177481</v>
      </c>
      <c r="AA14" s="21">
        <v>39207354</v>
      </c>
      <c r="AB14" s="21">
        <v>57199803.0422519</v>
      </c>
    </row>
    <row r="15" spans="4:28" x14ac:dyDescent="0.25">
      <c r="L15" t="str">
        <f t="shared" si="2"/>
        <v>4_Resurfacing</v>
      </c>
      <c r="M15">
        <v>4</v>
      </c>
      <c r="N15" t="s">
        <v>5</v>
      </c>
      <c r="O15">
        <v>30607918.006359302</v>
      </c>
      <c r="R15">
        <v>13</v>
      </c>
      <c r="S15" t="s">
        <v>5</v>
      </c>
      <c r="T15" t="str">
        <f t="shared" si="0"/>
        <v>13_Resurfacing</v>
      </c>
      <c r="U15">
        <f t="shared" si="1"/>
        <v>39213190.978894502</v>
      </c>
      <c r="Z15" s="21">
        <v>21503155.821105499</v>
      </c>
      <c r="AA15" s="21">
        <v>39213036</v>
      </c>
      <c r="AB15" s="21">
        <v>39213190.978894502</v>
      </c>
    </row>
    <row r="16" spans="4:28" x14ac:dyDescent="0.25">
      <c r="L16" t="str">
        <f t="shared" si="2"/>
        <v>5_Pre-Repairs</v>
      </c>
      <c r="M16">
        <v>5</v>
      </c>
      <c r="N16" t="s">
        <v>12</v>
      </c>
      <c r="O16">
        <v>5722595.4673049599</v>
      </c>
      <c r="R16">
        <v>14</v>
      </c>
      <c r="S16" t="s">
        <v>5</v>
      </c>
      <c r="T16" t="str">
        <f t="shared" si="0"/>
        <v>14_Resurfacing</v>
      </c>
      <c r="U16">
        <f t="shared" si="1"/>
        <v>39348688.000866897</v>
      </c>
      <c r="Z16" s="21">
        <v>18160572.8691331</v>
      </c>
      <c r="AA16" s="21">
        <v>39200460</v>
      </c>
      <c r="AB16" s="21">
        <v>39348688.000866897</v>
      </c>
    </row>
    <row r="17" spans="12:28" x14ac:dyDescent="0.25">
      <c r="L17" t="str">
        <f t="shared" si="2"/>
        <v>5_Rehab</v>
      </c>
      <c r="M17">
        <v>5</v>
      </c>
      <c r="N17" t="s">
        <v>6</v>
      </c>
      <c r="O17">
        <v>33117023</v>
      </c>
      <c r="R17">
        <v>15</v>
      </c>
      <c r="S17" t="s">
        <v>5</v>
      </c>
      <c r="T17" t="str">
        <f t="shared" si="0"/>
        <v>15_Resurfacing</v>
      </c>
      <c r="U17">
        <f t="shared" si="1"/>
        <v>22874734.5</v>
      </c>
      <c r="Z17" s="21">
        <v>8618708</v>
      </c>
      <c r="AA17" s="21">
        <v>39208887</v>
      </c>
      <c r="AB17" s="21">
        <v>22874734.5</v>
      </c>
    </row>
    <row r="18" spans="12:28" x14ac:dyDescent="0.25">
      <c r="L18" t="str">
        <f t="shared" si="2"/>
        <v>5_Resurfacing</v>
      </c>
      <c r="M18">
        <v>5</v>
      </c>
      <c r="N18" t="s">
        <v>5</v>
      </c>
      <c r="O18">
        <v>33237485.492695</v>
      </c>
      <c r="R18">
        <v>16</v>
      </c>
      <c r="S18" t="s">
        <v>5</v>
      </c>
      <c r="T18" t="str">
        <f t="shared" si="0"/>
        <v>16_Resurfacing</v>
      </c>
      <c r="U18">
        <f t="shared" si="1"/>
        <v>30065550</v>
      </c>
      <c r="Z18" s="21">
        <v>23550752.149999999</v>
      </c>
      <c r="AA18" s="21">
        <v>39207246</v>
      </c>
      <c r="AB18" s="21">
        <v>30065550</v>
      </c>
    </row>
    <row r="19" spans="12:28" x14ac:dyDescent="0.25">
      <c r="L19" t="str">
        <f t="shared" si="2"/>
        <v>6_Pre-Repairs</v>
      </c>
      <c r="M19">
        <v>6</v>
      </c>
      <c r="N19" t="s">
        <v>12</v>
      </c>
      <c r="O19">
        <v>18178689.357746899</v>
      </c>
      <c r="R19">
        <v>17</v>
      </c>
      <c r="S19" t="s">
        <v>5</v>
      </c>
      <c r="T19" t="str">
        <f t="shared" si="0"/>
        <v>17_Resurfacing</v>
      </c>
      <c r="U19">
        <f t="shared" si="1"/>
        <v>40981179.988237202</v>
      </c>
      <c r="Z19" s="21">
        <v>23550634.671762802</v>
      </c>
      <c r="AA19" s="21">
        <v>39158320</v>
      </c>
      <c r="AB19" s="21">
        <v>40981179.988237202</v>
      </c>
    </row>
    <row r="20" spans="12:28" x14ac:dyDescent="0.25">
      <c r="L20" t="str">
        <f t="shared" si="2"/>
        <v>6_Rehab</v>
      </c>
      <c r="M20">
        <v>6</v>
      </c>
      <c r="N20" t="s">
        <v>6</v>
      </c>
      <c r="O20">
        <v>35685974</v>
      </c>
      <c r="R20">
        <v>18</v>
      </c>
      <c r="S20" t="s">
        <v>5</v>
      </c>
      <c r="T20" t="str">
        <f t="shared" si="0"/>
        <v>18_Resurfacing</v>
      </c>
      <c r="U20">
        <f t="shared" si="1"/>
        <v>40193614.996360697</v>
      </c>
      <c r="Z20" s="21">
        <v>19743991.973639298</v>
      </c>
      <c r="AA20" s="21">
        <v>37652072</v>
      </c>
      <c r="AB20" s="21">
        <v>40193614.996360697</v>
      </c>
    </row>
    <row r="21" spans="12:28" x14ac:dyDescent="0.25">
      <c r="L21" t="str">
        <f t="shared" si="2"/>
        <v>6_Resurfacing</v>
      </c>
      <c r="M21">
        <v>6</v>
      </c>
      <c r="N21" t="s">
        <v>5</v>
      </c>
      <c r="O21">
        <v>38492711.512253098</v>
      </c>
      <c r="R21">
        <v>19</v>
      </c>
      <c r="S21" t="s">
        <v>5</v>
      </c>
      <c r="T21" t="str">
        <f t="shared" si="0"/>
        <v>19_Resurfacing</v>
      </c>
      <c r="U21">
        <f t="shared" si="1"/>
        <v>41383166.506931096</v>
      </c>
      <c r="Z21" s="21">
        <v>16102763.6730689</v>
      </c>
      <c r="AA21" s="21">
        <v>16719838</v>
      </c>
      <c r="AB21" s="21">
        <v>41383166.506931096</v>
      </c>
    </row>
    <row r="22" spans="12:28" x14ac:dyDescent="0.25">
      <c r="L22" t="str">
        <f t="shared" si="2"/>
        <v>7_Pre-Repairs</v>
      </c>
      <c r="M22">
        <v>7</v>
      </c>
      <c r="N22" t="s">
        <v>12</v>
      </c>
      <c r="O22">
        <v>14466231.6929271</v>
      </c>
      <c r="R22">
        <v>20</v>
      </c>
      <c r="S22" t="s">
        <v>5</v>
      </c>
      <c r="T22" t="str">
        <f t="shared" si="0"/>
        <v>20_Resurfacing</v>
      </c>
      <c r="U22">
        <f t="shared" si="1"/>
        <v>53711080.479708299</v>
      </c>
      <c r="Z22" s="21">
        <v>17801099.1502917</v>
      </c>
      <c r="AA22" s="21">
        <v>7868868</v>
      </c>
      <c r="AB22" s="21">
        <v>53711080.479708299</v>
      </c>
    </row>
    <row r="23" spans="12:28" x14ac:dyDescent="0.25">
      <c r="L23" t="str">
        <f t="shared" si="2"/>
        <v>7_Rehab</v>
      </c>
      <c r="M23">
        <v>7</v>
      </c>
      <c r="N23" t="s">
        <v>6</v>
      </c>
      <c r="O23">
        <v>47033561</v>
      </c>
      <c r="R23">
        <v>21</v>
      </c>
      <c r="S23" t="s">
        <v>5</v>
      </c>
      <c r="T23" t="str">
        <f t="shared" si="0"/>
        <v>21_Resurfacing</v>
      </c>
      <c r="U23">
        <f t="shared" si="1"/>
        <v>52652775.194256097</v>
      </c>
      <c r="Z23" s="21">
        <v>19495146.3357439</v>
      </c>
      <c r="AA23" s="21">
        <v>6322159</v>
      </c>
      <c r="AB23" s="21">
        <v>52652775.194256097</v>
      </c>
    </row>
    <row r="24" spans="12:28" x14ac:dyDescent="0.25">
      <c r="L24" t="str">
        <f t="shared" si="2"/>
        <v>7_Resurfacing</v>
      </c>
      <c r="M24">
        <v>7</v>
      </c>
      <c r="N24" t="s">
        <v>5</v>
      </c>
      <c r="O24">
        <v>41209742.287072897</v>
      </c>
      <c r="R24">
        <v>22</v>
      </c>
      <c r="S24" t="s">
        <v>5</v>
      </c>
      <c r="T24" t="str">
        <f t="shared" si="0"/>
        <v>22_Resurfacing</v>
      </c>
      <c r="U24">
        <f t="shared" si="1"/>
        <v>53995717.813472897</v>
      </c>
      <c r="Z24" s="21">
        <v>18094617.226527099</v>
      </c>
      <c r="AA24" s="21">
        <v>7201219</v>
      </c>
      <c r="AB24" s="21">
        <v>53995717.813472897</v>
      </c>
    </row>
    <row r="25" spans="12:28" x14ac:dyDescent="0.25">
      <c r="L25" t="str">
        <f t="shared" si="2"/>
        <v>8_Pre-Repairs</v>
      </c>
      <c r="M25">
        <v>8</v>
      </c>
      <c r="N25" t="s">
        <v>12</v>
      </c>
      <c r="O25">
        <v>15589345.8332498</v>
      </c>
      <c r="R25">
        <v>23</v>
      </c>
      <c r="S25" t="s">
        <v>5</v>
      </c>
      <c r="T25" t="str">
        <f t="shared" si="0"/>
        <v>23_Resurfacing</v>
      </c>
      <c r="U25">
        <f t="shared" si="1"/>
        <v>50246624.481835604</v>
      </c>
      <c r="Z25" s="21">
        <v>16417497.718164399</v>
      </c>
      <c r="AA25" s="21">
        <v>14860454</v>
      </c>
      <c r="AB25" s="21">
        <v>50246624.481835604</v>
      </c>
    </row>
    <row r="26" spans="12:28" x14ac:dyDescent="0.25">
      <c r="L26" t="str">
        <f t="shared" si="2"/>
        <v>8_Rehab</v>
      </c>
      <c r="M26">
        <v>8</v>
      </c>
      <c r="N26" t="s">
        <v>6</v>
      </c>
      <c r="O26">
        <v>44889428.619999997</v>
      </c>
      <c r="R26">
        <v>24</v>
      </c>
      <c r="S26" t="s">
        <v>5</v>
      </c>
      <c r="T26" t="str">
        <f t="shared" si="0"/>
        <v>24_Resurfacing</v>
      </c>
      <c r="U26">
        <f t="shared" si="1"/>
        <v>41237742.489255004</v>
      </c>
      <c r="Z26" s="21">
        <v>18073185.430744998</v>
      </c>
      <c r="AA26" s="21">
        <v>34730338</v>
      </c>
      <c r="AB26" s="21">
        <v>41237742.489255004</v>
      </c>
    </row>
    <row r="27" spans="12:28" x14ac:dyDescent="0.25">
      <c r="L27" t="str">
        <f t="shared" si="2"/>
        <v>8_Resurfacing</v>
      </c>
      <c r="M27">
        <v>8</v>
      </c>
      <c r="N27" t="s">
        <v>5</v>
      </c>
      <c r="O27">
        <v>41948799.966750197</v>
      </c>
      <c r="R27">
        <v>25</v>
      </c>
      <c r="S27" t="s">
        <v>5</v>
      </c>
      <c r="T27" t="str">
        <f t="shared" si="0"/>
        <v>25_Resurfacing</v>
      </c>
      <c r="U27">
        <f t="shared" si="1"/>
        <v>30822764.006484602</v>
      </c>
      <c r="Z27" s="21">
        <v>19371701.243515398</v>
      </c>
      <c r="AA27" s="21">
        <v>34795544</v>
      </c>
      <c r="AB27" s="21">
        <v>30822764.006484602</v>
      </c>
    </row>
    <row r="28" spans="12:28" x14ac:dyDescent="0.25">
      <c r="L28" t="str">
        <f t="shared" si="2"/>
        <v>9_Pre-Repairs</v>
      </c>
      <c r="M28">
        <v>9</v>
      </c>
      <c r="N28" t="s">
        <v>12</v>
      </c>
      <c r="O28">
        <v>20970340.370003</v>
      </c>
      <c r="R28">
        <v>26</v>
      </c>
      <c r="S28" t="s">
        <v>5</v>
      </c>
      <c r="T28" t="str">
        <f t="shared" si="0"/>
        <v>26_Resurfacing</v>
      </c>
      <c r="U28">
        <f t="shared" si="1"/>
        <v>32831761</v>
      </c>
      <c r="Z28" s="21">
        <v>6933893.7000000002</v>
      </c>
      <c r="AA28" s="21">
        <v>35103527</v>
      </c>
      <c r="AB28" s="21">
        <v>32831761</v>
      </c>
    </row>
    <row r="29" spans="12:28" x14ac:dyDescent="0.25">
      <c r="L29" t="str">
        <f t="shared" si="2"/>
        <v>9_Rehab</v>
      </c>
      <c r="M29">
        <v>9</v>
      </c>
      <c r="N29" t="s">
        <v>6</v>
      </c>
      <c r="O29">
        <v>46137618</v>
      </c>
      <c r="R29">
        <v>27</v>
      </c>
      <c r="S29" t="s">
        <v>5</v>
      </c>
      <c r="T29" t="str">
        <f t="shared" si="0"/>
        <v>27_Resurfacing</v>
      </c>
      <c r="U29">
        <f t="shared" si="1"/>
        <v>29980758</v>
      </c>
      <c r="Z29" s="21">
        <v>22989948.899999999</v>
      </c>
      <c r="AA29" s="21">
        <v>35047178</v>
      </c>
      <c r="AB29" s="21">
        <v>29980758</v>
      </c>
    </row>
    <row r="30" spans="12:28" x14ac:dyDescent="0.25">
      <c r="L30" t="str">
        <f t="shared" si="2"/>
        <v>9_Resurfacing</v>
      </c>
      <c r="M30">
        <v>9</v>
      </c>
      <c r="N30" t="s">
        <v>5</v>
      </c>
      <c r="O30">
        <v>50099895.009997003</v>
      </c>
      <c r="R30">
        <v>28</v>
      </c>
      <c r="S30" t="s">
        <v>5</v>
      </c>
      <c r="T30" t="str">
        <f t="shared" si="0"/>
        <v>28_Resurfacing</v>
      </c>
      <c r="U30">
        <f t="shared" si="1"/>
        <v>52518090.946757004</v>
      </c>
      <c r="Z30" s="21">
        <v>20987651.773242999</v>
      </c>
      <c r="AA30" s="21">
        <v>2670020</v>
      </c>
      <c r="AB30" s="21">
        <v>52518090.946757004</v>
      </c>
    </row>
    <row r="31" spans="12:28" x14ac:dyDescent="0.25">
      <c r="L31" t="str">
        <f t="shared" si="2"/>
        <v>10_Pre-Repairs</v>
      </c>
      <c r="M31">
        <v>10</v>
      </c>
      <c r="N31" t="s">
        <v>12</v>
      </c>
      <c r="O31">
        <v>13198492.5907619</v>
      </c>
      <c r="R31">
        <v>29</v>
      </c>
      <c r="S31" t="s">
        <v>5</v>
      </c>
      <c r="T31" t="str">
        <f t="shared" si="0"/>
        <v>29_Resurfacing</v>
      </c>
      <c r="U31">
        <f t="shared" si="1"/>
        <v>60018127.003853798</v>
      </c>
      <c r="Z31" s="21">
        <v>20085757.616146199</v>
      </c>
      <c r="AA31" s="21">
        <v>543708</v>
      </c>
      <c r="AB31" s="21">
        <v>60018127.003853798</v>
      </c>
    </row>
    <row r="32" spans="12:28" x14ac:dyDescent="0.25">
      <c r="L32" t="str">
        <f t="shared" si="2"/>
        <v>10_Rehab</v>
      </c>
      <c r="M32">
        <v>10</v>
      </c>
      <c r="N32" t="s">
        <v>6</v>
      </c>
      <c r="O32">
        <v>47377914</v>
      </c>
      <c r="R32">
        <v>30</v>
      </c>
      <c r="S32" t="s">
        <v>5</v>
      </c>
      <c r="T32" t="str">
        <f t="shared" si="0"/>
        <v>30_Resurfacing</v>
      </c>
      <c r="U32">
        <f t="shared" si="1"/>
        <v>54780627.998047598</v>
      </c>
      <c r="Z32" s="21">
        <v>24159606.841952398</v>
      </c>
      <c r="AA32" s="21">
        <v>2337321</v>
      </c>
      <c r="AB32" s="21">
        <v>54780627.998047598</v>
      </c>
    </row>
    <row r="33" spans="12:28" x14ac:dyDescent="0.25">
      <c r="L33" t="str">
        <f t="shared" si="2"/>
        <v>10_Resurfacing</v>
      </c>
      <c r="M33">
        <v>10</v>
      </c>
      <c r="N33" t="s">
        <v>5</v>
      </c>
      <c r="O33">
        <v>52279253.029238097</v>
      </c>
      <c r="Z33" s="22">
        <f>AVERAGE(Z3:Z32)</f>
        <v>18655030.900852464</v>
      </c>
      <c r="AA33" s="22">
        <f t="shared" ref="AA33:AB33" si="3">AVERAGE(AA3:AA32)</f>
        <v>30318260.796</v>
      </c>
      <c r="AB33" s="22">
        <f t="shared" si="3"/>
        <v>42055482.400480859</v>
      </c>
    </row>
    <row r="34" spans="12:28" x14ac:dyDescent="0.25">
      <c r="L34" t="str">
        <f t="shared" si="2"/>
        <v>11_Pre-Repairs</v>
      </c>
      <c r="M34">
        <v>11</v>
      </c>
      <c r="N34" t="s">
        <v>12</v>
      </c>
      <c r="O34">
        <v>19876164.427152898</v>
      </c>
    </row>
    <row r="35" spans="12:28" x14ac:dyDescent="0.25">
      <c r="L35" t="str">
        <f t="shared" si="2"/>
        <v>11_Rehab</v>
      </c>
      <c r="M35">
        <v>11</v>
      </c>
      <c r="N35" t="s">
        <v>6</v>
      </c>
      <c r="O35">
        <v>39212914</v>
      </c>
    </row>
    <row r="36" spans="12:28" x14ac:dyDescent="0.25">
      <c r="L36" t="str">
        <f t="shared" si="2"/>
        <v>11_Resurfacing</v>
      </c>
      <c r="M36">
        <v>11</v>
      </c>
      <c r="N36" t="s">
        <v>5</v>
      </c>
      <c r="O36">
        <v>73835413.052847102</v>
      </c>
    </row>
    <row r="37" spans="12:28" x14ac:dyDescent="0.25">
      <c r="L37" t="str">
        <f t="shared" si="2"/>
        <v>12_Pre-Repairs</v>
      </c>
      <c r="M37">
        <v>12</v>
      </c>
      <c r="N37" t="s">
        <v>12</v>
      </c>
      <c r="O37">
        <v>18742433.3177481</v>
      </c>
    </row>
    <row r="38" spans="12:28" x14ac:dyDescent="0.25">
      <c r="L38" t="str">
        <f t="shared" si="2"/>
        <v>12_Rehab</v>
      </c>
      <c r="M38">
        <v>12</v>
      </c>
      <c r="N38" t="s">
        <v>6</v>
      </c>
      <c r="O38">
        <v>39207354</v>
      </c>
    </row>
    <row r="39" spans="12:28" x14ac:dyDescent="0.25">
      <c r="L39" t="str">
        <f t="shared" si="2"/>
        <v>12_Resurfacing</v>
      </c>
      <c r="M39">
        <v>12</v>
      </c>
      <c r="N39" t="s">
        <v>5</v>
      </c>
      <c r="O39">
        <v>57199803.0422519</v>
      </c>
    </row>
    <row r="40" spans="12:28" x14ac:dyDescent="0.25">
      <c r="L40" t="str">
        <f t="shared" si="2"/>
        <v>13_Pre-Repairs</v>
      </c>
      <c r="M40">
        <v>13</v>
      </c>
      <c r="N40" t="s">
        <v>12</v>
      </c>
      <c r="O40">
        <v>21503155.821105499</v>
      </c>
    </row>
    <row r="41" spans="12:28" x14ac:dyDescent="0.25">
      <c r="L41" t="str">
        <f t="shared" si="2"/>
        <v>13_Rehab</v>
      </c>
      <c r="M41">
        <v>13</v>
      </c>
      <c r="N41" t="s">
        <v>6</v>
      </c>
      <c r="O41">
        <v>39213036</v>
      </c>
    </row>
    <row r="42" spans="12:28" x14ac:dyDescent="0.25">
      <c r="L42" t="str">
        <f t="shared" si="2"/>
        <v>13_Resurfacing</v>
      </c>
      <c r="M42">
        <v>13</v>
      </c>
      <c r="N42" t="s">
        <v>5</v>
      </c>
      <c r="O42">
        <v>39213190.978894502</v>
      </c>
    </row>
    <row r="43" spans="12:28" x14ac:dyDescent="0.25">
      <c r="L43" t="str">
        <f t="shared" si="2"/>
        <v>14_Pre-Repairs</v>
      </c>
      <c r="M43">
        <v>14</v>
      </c>
      <c r="N43" t="s">
        <v>12</v>
      </c>
      <c r="O43">
        <v>18160572.8691331</v>
      </c>
    </row>
    <row r="44" spans="12:28" x14ac:dyDescent="0.25">
      <c r="L44" t="str">
        <f t="shared" si="2"/>
        <v>14_Rehab</v>
      </c>
      <c r="M44">
        <v>14</v>
      </c>
      <c r="N44" t="s">
        <v>6</v>
      </c>
      <c r="O44">
        <v>39200460</v>
      </c>
    </row>
    <row r="45" spans="12:28" x14ac:dyDescent="0.25">
      <c r="L45" t="str">
        <f t="shared" si="2"/>
        <v>14_Resurfacing</v>
      </c>
      <c r="M45">
        <v>14</v>
      </c>
      <c r="N45" t="s">
        <v>5</v>
      </c>
      <c r="O45">
        <v>39348688.000866897</v>
      </c>
    </row>
    <row r="46" spans="12:28" x14ac:dyDescent="0.25">
      <c r="L46" t="str">
        <f t="shared" si="2"/>
        <v>15_Pre-Repairs</v>
      </c>
      <c r="M46">
        <v>15</v>
      </c>
      <c r="N46" t="s">
        <v>12</v>
      </c>
      <c r="O46">
        <v>8618708</v>
      </c>
    </row>
    <row r="47" spans="12:28" x14ac:dyDescent="0.25">
      <c r="L47" t="str">
        <f t="shared" si="2"/>
        <v>15_Rehab</v>
      </c>
      <c r="M47">
        <v>15</v>
      </c>
      <c r="N47" t="s">
        <v>6</v>
      </c>
      <c r="O47">
        <v>39208887</v>
      </c>
    </row>
    <row r="48" spans="12:28" x14ac:dyDescent="0.25">
      <c r="L48" t="str">
        <f t="shared" si="2"/>
        <v>15_Resurfacing</v>
      </c>
      <c r="M48">
        <v>15</v>
      </c>
      <c r="N48" t="s">
        <v>5</v>
      </c>
      <c r="O48">
        <v>22874734.5</v>
      </c>
    </row>
    <row r="49" spans="12:15" x14ac:dyDescent="0.25">
      <c r="L49" t="str">
        <f t="shared" si="2"/>
        <v>16_Pre-Repairs</v>
      </c>
      <c r="M49">
        <v>16</v>
      </c>
      <c r="N49" t="s">
        <v>12</v>
      </c>
      <c r="O49">
        <v>23550752.149999999</v>
      </c>
    </row>
    <row r="50" spans="12:15" x14ac:dyDescent="0.25">
      <c r="L50" t="str">
        <f t="shared" si="2"/>
        <v>16_Rehab</v>
      </c>
      <c r="M50">
        <v>16</v>
      </c>
      <c r="N50" t="s">
        <v>6</v>
      </c>
      <c r="O50">
        <v>39207246</v>
      </c>
    </row>
    <row r="51" spans="12:15" x14ac:dyDescent="0.25">
      <c r="L51" t="str">
        <f t="shared" si="2"/>
        <v>16_Resurfacing</v>
      </c>
      <c r="M51">
        <v>16</v>
      </c>
      <c r="N51" t="s">
        <v>5</v>
      </c>
      <c r="O51">
        <v>30065550</v>
      </c>
    </row>
    <row r="52" spans="12:15" x14ac:dyDescent="0.25">
      <c r="L52" t="str">
        <f t="shared" si="2"/>
        <v>17_Pre-Repairs</v>
      </c>
      <c r="M52">
        <v>17</v>
      </c>
      <c r="N52" t="s">
        <v>12</v>
      </c>
      <c r="O52">
        <v>23550634.671762802</v>
      </c>
    </row>
    <row r="53" spans="12:15" x14ac:dyDescent="0.25">
      <c r="L53" t="str">
        <f t="shared" si="2"/>
        <v>17_Rehab</v>
      </c>
      <c r="M53">
        <v>17</v>
      </c>
      <c r="N53" t="s">
        <v>6</v>
      </c>
      <c r="O53">
        <v>39158320</v>
      </c>
    </row>
    <row r="54" spans="12:15" x14ac:dyDescent="0.25">
      <c r="L54" t="str">
        <f t="shared" si="2"/>
        <v>17_Resurfacing</v>
      </c>
      <c r="M54">
        <v>17</v>
      </c>
      <c r="N54" t="s">
        <v>5</v>
      </c>
      <c r="O54">
        <v>40981179.988237202</v>
      </c>
    </row>
    <row r="55" spans="12:15" x14ac:dyDescent="0.25">
      <c r="L55" t="str">
        <f t="shared" si="2"/>
        <v>18_Pre-Repairs</v>
      </c>
      <c r="M55">
        <v>18</v>
      </c>
      <c r="N55" t="s">
        <v>12</v>
      </c>
      <c r="O55">
        <v>19743991.973639298</v>
      </c>
    </row>
    <row r="56" spans="12:15" x14ac:dyDescent="0.25">
      <c r="L56" t="str">
        <f t="shared" si="2"/>
        <v>18_Rehab</v>
      </c>
      <c r="M56">
        <v>18</v>
      </c>
      <c r="N56" t="s">
        <v>6</v>
      </c>
      <c r="O56">
        <v>37652072</v>
      </c>
    </row>
    <row r="57" spans="12:15" x14ac:dyDescent="0.25">
      <c r="L57" t="str">
        <f t="shared" si="2"/>
        <v>18_Resurfacing</v>
      </c>
      <c r="M57">
        <v>18</v>
      </c>
      <c r="N57" t="s">
        <v>5</v>
      </c>
      <c r="O57">
        <v>40193614.996360697</v>
      </c>
    </row>
    <row r="58" spans="12:15" x14ac:dyDescent="0.25">
      <c r="L58" t="str">
        <f t="shared" si="2"/>
        <v>19_Pre-Repairs</v>
      </c>
      <c r="M58">
        <v>19</v>
      </c>
      <c r="N58" t="s">
        <v>12</v>
      </c>
      <c r="O58">
        <v>16102763.6730689</v>
      </c>
    </row>
    <row r="59" spans="12:15" x14ac:dyDescent="0.25">
      <c r="L59" t="str">
        <f t="shared" si="2"/>
        <v>19_Rehab</v>
      </c>
      <c r="M59">
        <v>19</v>
      </c>
      <c r="N59" t="s">
        <v>6</v>
      </c>
      <c r="O59">
        <v>16719838</v>
      </c>
    </row>
    <row r="60" spans="12:15" x14ac:dyDescent="0.25">
      <c r="L60" t="str">
        <f t="shared" si="2"/>
        <v>19_Resurfacing</v>
      </c>
      <c r="M60">
        <v>19</v>
      </c>
      <c r="N60" t="s">
        <v>5</v>
      </c>
      <c r="O60">
        <v>41383166.506931096</v>
      </c>
    </row>
    <row r="61" spans="12:15" x14ac:dyDescent="0.25">
      <c r="L61" t="str">
        <f t="shared" si="2"/>
        <v>20_Pre-Repairs</v>
      </c>
      <c r="M61">
        <v>20</v>
      </c>
      <c r="N61" t="s">
        <v>12</v>
      </c>
      <c r="O61">
        <v>17801099.1502917</v>
      </c>
    </row>
    <row r="62" spans="12:15" x14ac:dyDescent="0.25">
      <c r="L62" t="str">
        <f t="shared" si="2"/>
        <v>20_Rehab</v>
      </c>
      <c r="M62">
        <v>20</v>
      </c>
      <c r="N62" t="s">
        <v>6</v>
      </c>
      <c r="O62">
        <v>7868868</v>
      </c>
    </row>
    <row r="63" spans="12:15" x14ac:dyDescent="0.25">
      <c r="L63" t="str">
        <f t="shared" si="2"/>
        <v>20_Resurfacing</v>
      </c>
      <c r="M63">
        <v>20</v>
      </c>
      <c r="N63" t="s">
        <v>5</v>
      </c>
      <c r="O63">
        <v>53711080.479708299</v>
      </c>
    </row>
    <row r="64" spans="12:15" x14ac:dyDescent="0.25">
      <c r="L64" t="str">
        <f t="shared" si="2"/>
        <v>21_Pre-Repairs</v>
      </c>
      <c r="M64">
        <v>21</v>
      </c>
      <c r="N64" t="s">
        <v>12</v>
      </c>
      <c r="O64">
        <v>19495146.3357439</v>
      </c>
    </row>
    <row r="65" spans="12:15" x14ac:dyDescent="0.25">
      <c r="L65" t="str">
        <f t="shared" si="2"/>
        <v>21_Rehab</v>
      </c>
      <c r="M65">
        <v>21</v>
      </c>
      <c r="N65" t="s">
        <v>6</v>
      </c>
      <c r="O65">
        <v>6322159</v>
      </c>
    </row>
    <row r="66" spans="12:15" x14ac:dyDescent="0.25">
      <c r="L66" t="str">
        <f t="shared" si="2"/>
        <v>21_Resurfacing</v>
      </c>
      <c r="M66">
        <v>21</v>
      </c>
      <c r="N66" t="s">
        <v>5</v>
      </c>
      <c r="O66">
        <v>52652775.194256097</v>
      </c>
    </row>
    <row r="67" spans="12:15" x14ac:dyDescent="0.25">
      <c r="L67" t="str">
        <f t="shared" si="2"/>
        <v>22_Pre-Repairs</v>
      </c>
      <c r="M67">
        <v>22</v>
      </c>
      <c r="N67" t="s">
        <v>12</v>
      </c>
      <c r="O67">
        <v>18094617.226527099</v>
      </c>
    </row>
    <row r="68" spans="12:15" x14ac:dyDescent="0.25">
      <c r="L68" t="str">
        <f t="shared" si="2"/>
        <v>22_Rehab</v>
      </c>
      <c r="M68">
        <v>22</v>
      </c>
      <c r="N68" t="s">
        <v>6</v>
      </c>
      <c r="O68">
        <v>7201219</v>
      </c>
    </row>
    <row r="69" spans="12:15" x14ac:dyDescent="0.25">
      <c r="L69" t="str">
        <f t="shared" ref="L69:L93" si="4">M69&amp;"_"&amp;N69</f>
        <v>22_Resurfacing</v>
      </c>
      <c r="M69">
        <v>22</v>
      </c>
      <c r="N69" t="s">
        <v>5</v>
      </c>
      <c r="O69">
        <v>53995717.813472897</v>
      </c>
    </row>
    <row r="70" spans="12:15" x14ac:dyDescent="0.25">
      <c r="L70" t="str">
        <f t="shared" si="4"/>
        <v>23_Pre-Repairs</v>
      </c>
      <c r="M70">
        <v>23</v>
      </c>
      <c r="N70" t="s">
        <v>12</v>
      </c>
      <c r="O70">
        <v>16417497.718164399</v>
      </c>
    </row>
    <row r="71" spans="12:15" x14ac:dyDescent="0.25">
      <c r="L71" t="str">
        <f t="shared" si="4"/>
        <v>23_Rehab</v>
      </c>
      <c r="M71">
        <v>23</v>
      </c>
      <c r="N71" t="s">
        <v>6</v>
      </c>
      <c r="O71">
        <v>14860454</v>
      </c>
    </row>
    <row r="72" spans="12:15" x14ac:dyDescent="0.25">
      <c r="L72" t="str">
        <f t="shared" si="4"/>
        <v>23_Resurfacing</v>
      </c>
      <c r="M72">
        <v>23</v>
      </c>
      <c r="N72" t="s">
        <v>5</v>
      </c>
      <c r="O72">
        <v>50246624.481835604</v>
      </c>
    </row>
    <row r="73" spans="12:15" x14ac:dyDescent="0.25">
      <c r="L73" t="str">
        <f t="shared" si="4"/>
        <v>24_Pre-Repairs</v>
      </c>
      <c r="M73">
        <v>24</v>
      </c>
      <c r="N73" t="s">
        <v>12</v>
      </c>
      <c r="O73">
        <v>18073185.430744998</v>
      </c>
    </row>
    <row r="74" spans="12:15" x14ac:dyDescent="0.25">
      <c r="L74" t="str">
        <f t="shared" si="4"/>
        <v>24_Rehab</v>
      </c>
      <c r="M74">
        <v>24</v>
      </c>
      <c r="N74" t="s">
        <v>6</v>
      </c>
      <c r="O74">
        <v>34730338</v>
      </c>
    </row>
    <row r="75" spans="12:15" x14ac:dyDescent="0.25">
      <c r="L75" t="str">
        <f t="shared" si="4"/>
        <v>24_Resurfacing</v>
      </c>
      <c r="M75">
        <v>24</v>
      </c>
      <c r="N75" t="s">
        <v>5</v>
      </c>
      <c r="O75">
        <v>41237742.489255004</v>
      </c>
    </row>
    <row r="76" spans="12:15" x14ac:dyDescent="0.25">
      <c r="L76" t="str">
        <f t="shared" si="4"/>
        <v>25_Pre-Repairs</v>
      </c>
      <c r="M76">
        <v>25</v>
      </c>
      <c r="N76" t="s">
        <v>12</v>
      </c>
      <c r="O76">
        <v>19371701.243515398</v>
      </c>
    </row>
    <row r="77" spans="12:15" x14ac:dyDescent="0.25">
      <c r="L77" t="str">
        <f t="shared" si="4"/>
        <v>25_Rehab</v>
      </c>
      <c r="M77">
        <v>25</v>
      </c>
      <c r="N77" t="s">
        <v>6</v>
      </c>
      <c r="O77">
        <v>34795544</v>
      </c>
    </row>
    <row r="78" spans="12:15" x14ac:dyDescent="0.25">
      <c r="L78" t="str">
        <f t="shared" si="4"/>
        <v>25_Resurfacing</v>
      </c>
      <c r="M78">
        <v>25</v>
      </c>
      <c r="N78" t="s">
        <v>5</v>
      </c>
      <c r="O78">
        <v>30822764.006484602</v>
      </c>
    </row>
    <row r="79" spans="12:15" x14ac:dyDescent="0.25">
      <c r="L79" t="str">
        <f t="shared" si="4"/>
        <v>26_Pre-Repairs</v>
      </c>
      <c r="M79">
        <v>26</v>
      </c>
      <c r="N79" t="s">
        <v>12</v>
      </c>
      <c r="O79">
        <v>6933893.7000000002</v>
      </c>
    </row>
    <row r="80" spans="12:15" x14ac:dyDescent="0.25">
      <c r="L80" t="str">
        <f t="shared" si="4"/>
        <v>26_Rehab</v>
      </c>
      <c r="M80">
        <v>26</v>
      </c>
      <c r="N80" t="s">
        <v>6</v>
      </c>
      <c r="O80">
        <v>35103527</v>
      </c>
    </row>
    <row r="81" spans="12:15" x14ac:dyDescent="0.25">
      <c r="L81" t="str">
        <f t="shared" si="4"/>
        <v>26_Resurfacing</v>
      </c>
      <c r="M81">
        <v>26</v>
      </c>
      <c r="N81" t="s">
        <v>5</v>
      </c>
      <c r="O81">
        <v>32831761</v>
      </c>
    </row>
    <row r="82" spans="12:15" x14ac:dyDescent="0.25">
      <c r="L82" t="str">
        <f t="shared" si="4"/>
        <v>27_Pre-Repairs</v>
      </c>
      <c r="M82">
        <v>27</v>
      </c>
      <c r="N82" t="s">
        <v>12</v>
      </c>
      <c r="O82">
        <v>22989948.899999999</v>
      </c>
    </row>
    <row r="83" spans="12:15" x14ac:dyDescent="0.25">
      <c r="L83" t="str">
        <f t="shared" si="4"/>
        <v>27_Rehab</v>
      </c>
      <c r="M83">
        <v>27</v>
      </c>
      <c r="N83" t="s">
        <v>6</v>
      </c>
      <c r="O83">
        <v>35047178</v>
      </c>
    </row>
    <row r="84" spans="12:15" x14ac:dyDescent="0.25">
      <c r="L84" t="str">
        <f t="shared" si="4"/>
        <v>27_Resurfacing</v>
      </c>
      <c r="M84">
        <v>27</v>
      </c>
      <c r="N84" t="s">
        <v>5</v>
      </c>
      <c r="O84">
        <v>29980758</v>
      </c>
    </row>
    <row r="85" spans="12:15" x14ac:dyDescent="0.25">
      <c r="L85" t="str">
        <f t="shared" si="4"/>
        <v>28_Pre-Repairs</v>
      </c>
      <c r="M85">
        <v>28</v>
      </c>
      <c r="N85" t="s">
        <v>12</v>
      </c>
      <c r="O85">
        <v>20987651.773242999</v>
      </c>
    </row>
    <row r="86" spans="12:15" x14ac:dyDescent="0.25">
      <c r="L86" t="str">
        <f t="shared" si="4"/>
        <v>28_Rehab</v>
      </c>
      <c r="M86">
        <v>28</v>
      </c>
      <c r="N86" t="s">
        <v>6</v>
      </c>
      <c r="O86">
        <v>2670020</v>
      </c>
    </row>
    <row r="87" spans="12:15" x14ac:dyDescent="0.25">
      <c r="L87" t="str">
        <f t="shared" si="4"/>
        <v>28_Resurfacing</v>
      </c>
      <c r="M87">
        <v>28</v>
      </c>
      <c r="N87" t="s">
        <v>5</v>
      </c>
      <c r="O87">
        <v>52518090.946757004</v>
      </c>
    </row>
    <row r="88" spans="12:15" x14ac:dyDescent="0.25">
      <c r="L88" t="str">
        <f t="shared" si="4"/>
        <v>29_Pre-Repairs</v>
      </c>
      <c r="M88">
        <v>29</v>
      </c>
      <c r="N88" t="s">
        <v>12</v>
      </c>
      <c r="O88">
        <v>20085757.616146199</v>
      </c>
    </row>
    <row r="89" spans="12:15" x14ac:dyDescent="0.25">
      <c r="L89" t="str">
        <f t="shared" si="4"/>
        <v>29_Rehab</v>
      </c>
      <c r="M89">
        <v>29</v>
      </c>
      <c r="N89" t="s">
        <v>6</v>
      </c>
      <c r="O89">
        <v>543708</v>
      </c>
    </row>
    <row r="90" spans="12:15" x14ac:dyDescent="0.25">
      <c r="L90" t="str">
        <f t="shared" si="4"/>
        <v>29_Resurfacing</v>
      </c>
      <c r="M90">
        <v>29</v>
      </c>
      <c r="N90" t="s">
        <v>5</v>
      </c>
      <c r="O90">
        <v>60018127.003853798</v>
      </c>
    </row>
    <row r="91" spans="12:15" x14ac:dyDescent="0.25">
      <c r="L91" t="str">
        <f t="shared" si="4"/>
        <v>30_Pre-Repairs</v>
      </c>
      <c r="M91">
        <v>30</v>
      </c>
      <c r="N91" t="s">
        <v>12</v>
      </c>
      <c r="O91">
        <v>24159606.841952398</v>
      </c>
    </row>
    <row r="92" spans="12:15" x14ac:dyDescent="0.25">
      <c r="L92" t="str">
        <f t="shared" si="4"/>
        <v>30_Rehab</v>
      </c>
      <c r="M92">
        <v>30</v>
      </c>
      <c r="N92" t="s">
        <v>6</v>
      </c>
      <c r="O92">
        <v>2337321</v>
      </c>
    </row>
    <row r="93" spans="12:15" x14ac:dyDescent="0.25">
      <c r="L93" t="str">
        <f t="shared" si="4"/>
        <v>30_Resurfacing</v>
      </c>
      <c r="M93">
        <v>30</v>
      </c>
      <c r="N93" t="s">
        <v>5</v>
      </c>
      <c r="O93">
        <v>54780627.998047598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482E-F612-4E25-AC0A-E4557DA94100}">
  <dimension ref="A1:AR34"/>
  <sheetViews>
    <sheetView zoomScaleNormal="100" workbookViewId="0">
      <selection activeCell="E34" sqref="E34"/>
    </sheetView>
  </sheetViews>
  <sheetFormatPr defaultRowHeight="15" x14ac:dyDescent="0.25"/>
  <cols>
    <col min="1" max="1" width="6.85546875" style="7" bestFit="1" customWidth="1"/>
    <col min="2" max="2" width="12" style="7" bestFit="1" customWidth="1"/>
    <col min="3" max="4" width="12" bestFit="1" customWidth="1"/>
    <col min="5" max="5" width="12.5703125" bestFit="1" customWidth="1"/>
    <col min="6" max="7" width="11.140625" bestFit="1" customWidth="1"/>
    <col min="8" max="8" width="10.85546875" bestFit="1" customWidth="1"/>
    <col min="9" max="9" width="13.28515625" bestFit="1" customWidth="1"/>
    <col min="13" max="13" width="14.28515625" bestFit="1" customWidth="1"/>
    <col min="14" max="14" width="11.5703125" bestFit="1" customWidth="1"/>
    <col min="15" max="15" width="10.5703125" bestFit="1" customWidth="1"/>
  </cols>
  <sheetData>
    <row r="1" spans="1:44" x14ac:dyDescent="0.25">
      <c r="A1" s="3" t="s">
        <v>0</v>
      </c>
      <c r="B1" s="3" t="s">
        <v>6</v>
      </c>
      <c r="C1" s="3" t="s">
        <v>5</v>
      </c>
      <c r="D1" s="3" t="s">
        <v>12</v>
      </c>
      <c r="E1" s="3" t="s">
        <v>1</v>
      </c>
      <c r="F1" s="3" t="s">
        <v>2</v>
      </c>
      <c r="G1" s="3" t="s">
        <v>3</v>
      </c>
      <c r="H1" s="3" t="s">
        <v>4</v>
      </c>
    </row>
    <row r="2" spans="1:44" x14ac:dyDescent="0.25">
      <c r="A2" s="6">
        <v>1</v>
      </c>
      <c r="B2" s="18">
        <f>budget_current!B2*budget_increase!$B$33</f>
        <v>6049508.3999999994</v>
      </c>
      <c r="C2" s="18">
        <f>budget_current!C2*budget_increase!$B$33</f>
        <v>4264731.5999999996</v>
      </c>
      <c r="D2" s="18">
        <f>budget_current!D2*budget_increase!$B$33</f>
        <v>2132365.7999999998</v>
      </c>
      <c r="E2" s="5">
        <v>999999999</v>
      </c>
      <c r="F2" s="5">
        <v>999999999</v>
      </c>
      <c r="G2" s="5">
        <v>999999999</v>
      </c>
      <c r="H2" s="5">
        <v>999999999</v>
      </c>
      <c r="I2" s="4"/>
      <c r="J2" s="2"/>
      <c r="M2" s="4"/>
      <c r="N2" s="4"/>
      <c r="O2" s="8"/>
    </row>
    <row r="3" spans="1:44" x14ac:dyDescent="0.25">
      <c r="A3" s="6">
        <v>2</v>
      </c>
      <c r="B3" s="18">
        <f>budget_current!B3*budget_increase!$B$33</f>
        <v>6049508.3999999994</v>
      </c>
      <c r="C3" s="18">
        <f>budget_current!C3*budget_increase!$B$33</f>
        <v>4264731.5999999996</v>
      </c>
      <c r="D3" s="18">
        <f>budget_current!D3*budget_increase!$B$33</f>
        <v>2132365.7999999998</v>
      </c>
      <c r="E3" s="5">
        <v>999999999</v>
      </c>
      <c r="F3" s="5">
        <v>999999999</v>
      </c>
      <c r="G3" s="5">
        <v>999999999</v>
      </c>
      <c r="H3" s="5">
        <v>999999999</v>
      </c>
      <c r="I3" s="4"/>
    </row>
    <row r="4" spans="1:44" x14ac:dyDescent="0.25">
      <c r="A4" s="6">
        <v>3</v>
      </c>
      <c r="B4" s="18">
        <f>budget_current!B4*budget_increase!$B$33</f>
        <v>6049508.3999999994</v>
      </c>
      <c r="C4" s="18">
        <f>budget_current!C4*budget_increase!$B$33</f>
        <v>4264731.5999999996</v>
      </c>
      <c r="D4" s="18">
        <f>budget_current!D4*budget_increase!$B$33</f>
        <v>2132365.7999999998</v>
      </c>
      <c r="E4" s="5">
        <v>999999999</v>
      </c>
      <c r="F4" s="5">
        <v>999999999</v>
      </c>
      <c r="G4" s="5">
        <v>999999999</v>
      </c>
      <c r="H4" s="5">
        <v>999999999</v>
      </c>
      <c r="I4" s="4"/>
    </row>
    <row r="5" spans="1:44" x14ac:dyDescent="0.25">
      <c r="A5" s="6">
        <v>4</v>
      </c>
      <c r="B5" s="18">
        <f>budget_current!B5*budget_increase!$B$33</f>
        <v>6049508.3999999994</v>
      </c>
      <c r="C5" s="18">
        <f>budget_current!C5*budget_increase!$B$33</f>
        <v>4264731.5999999996</v>
      </c>
      <c r="D5" s="18">
        <f>budget_current!D5*budget_increase!$B$33</f>
        <v>2132365.7999999998</v>
      </c>
      <c r="E5" s="5">
        <v>999999999</v>
      </c>
      <c r="F5" s="5">
        <v>999999999</v>
      </c>
      <c r="G5" s="5">
        <v>999999999</v>
      </c>
      <c r="H5" s="5">
        <v>999999999</v>
      </c>
      <c r="I5" s="4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</row>
    <row r="6" spans="1:44" x14ac:dyDescent="0.25">
      <c r="A6" s="6">
        <v>5</v>
      </c>
      <c r="B6" s="18">
        <f>budget_current!B6*budget_increase!$B$33</f>
        <v>6049508.3999999994</v>
      </c>
      <c r="C6" s="18">
        <f>budget_current!C6*budget_increase!$B$33</f>
        <v>4264731.5999999996</v>
      </c>
      <c r="D6" s="18">
        <f>budget_current!D6*budget_increase!$B$33</f>
        <v>2132365.7999999998</v>
      </c>
      <c r="E6" s="5">
        <v>999999999</v>
      </c>
      <c r="F6" s="5">
        <v>999999999</v>
      </c>
      <c r="G6" s="5">
        <v>999999999</v>
      </c>
      <c r="H6" s="5">
        <v>999999999</v>
      </c>
      <c r="I6" s="4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25">
      <c r="A7" s="6">
        <v>6</v>
      </c>
      <c r="B7" s="18">
        <f>budget_current!B7*budget_increase!$B$33</f>
        <v>6049508.3999999994</v>
      </c>
      <c r="C7" s="18">
        <f>budget_current!C7*budget_increase!$B$33</f>
        <v>4264731.5999999996</v>
      </c>
      <c r="D7" s="18">
        <f>budget_current!D7*budget_increase!$B$33</f>
        <v>2132365.7999999998</v>
      </c>
      <c r="E7" s="5">
        <v>999999999</v>
      </c>
      <c r="F7" s="5">
        <v>999999999</v>
      </c>
      <c r="G7" s="5">
        <v>999999999</v>
      </c>
      <c r="H7" s="5">
        <v>999999999</v>
      </c>
      <c r="I7" s="4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x14ac:dyDescent="0.25">
      <c r="A8" s="6">
        <v>7</v>
      </c>
      <c r="B8" s="18">
        <f>budget_current!B8*budget_increase!$B$33</f>
        <v>6049508.3999999994</v>
      </c>
      <c r="C8" s="18">
        <f>budget_current!C8*budget_increase!$B$33</f>
        <v>4264731.5999999996</v>
      </c>
      <c r="D8" s="18">
        <f>budget_current!D8*budget_increase!$B$33</f>
        <v>2132365.7999999998</v>
      </c>
      <c r="E8" s="5">
        <v>999999999</v>
      </c>
      <c r="F8" s="5">
        <v>999999999</v>
      </c>
      <c r="G8" s="5">
        <v>999999999</v>
      </c>
      <c r="H8" s="5">
        <v>999999999</v>
      </c>
      <c r="I8" s="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 x14ac:dyDescent="0.25">
      <c r="A9" s="6">
        <v>8</v>
      </c>
      <c r="B9" s="18">
        <f>budget_current!B9*budget_increase!$B$33</f>
        <v>6049508.3999999994</v>
      </c>
      <c r="C9" s="18">
        <f>budget_current!C9*budget_increase!$B$33</f>
        <v>4264731.5999999996</v>
      </c>
      <c r="D9" s="18">
        <f>budget_current!D9*budget_increase!$B$33</f>
        <v>2132365.7999999998</v>
      </c>
      <c r="E9" s="5">
        <v>999999999</v>
      </c>
      <c r="F9" s="5">
        <v>999999999</v>
      </c>
      <c r="G9" s="5">
        <v>999999999</v>
      </c>
      <c r="H9" s="5">
        <v>999999999</v>
      </c>
      <c r="I9" s="4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 x14ac:dyDescent="0.25">
      <c r="A10" s="6">
        <v>9</v>
      </c>
      <c r="B10" s="18">
        <f>budget_current!B10*budget_increase!$B$33</f>
        <v>6049508.3999999994</v>
      </c>
      <c r="C10" s="18">
        <f>budget_current!C10*budget_increase!$B$33</f>
        <v>4264731.5999999996</v>
      </c>
      <c r="D10" s="18">
        <f>budget_current!D10*budget_increase!$B$33</f>
        <v>2132365.7999999998</v>
      </c>
      <c r="E10" s="5">
        <v>999999999</v>
      </c>
      <c r="F10" s="5">
        <v>999999999</v>
      </c>
      <c r="G10" s="5">
        <v>999999999</v>
      </c>
      <c r="H10" s="5">
        <v>999999999</v>
      </c>
      <c r="I10" s="4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 x14ac:dyDescent="0.25">
      <c r="A11" s="6">
        <v>10</v>
      </c>
      <c r="B11" s="18">
        <f>budget_current!B11*budget_increase!$B$33</f>
        <v>6049508.3999999994</v>
      </c>
      <c r="C11" s="18">
        <f>budget_current!C11*budget_increase!$B$33</f>
        <v>4264731.5999999996</v>
      </c>
      <c r="D11" s="18">
        <f>budget_current!D11*budget_increase!$B$33</f>
        <v>2132365.7999999998</v>
      </c>
      <c r="E11" s="5">
        <v>999999999</v>
      </c>
      <c r="F11" s="5">
        <v>999999999</v>
      </c>
      <c r="G11" s="5">
        <v>999999999</v>
      </c>
      <c r="H11" s="5">
        <v>999999999</v>
      </c>
      <c r="I11" s="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5">
      <c r="A12" s="6">
        <v>11</v>
      </c>
      <c r="B12" s="18">
        <f>budget_current!B12*budget_increase!$B$33</f>
        <v>6049508.3999999994</v>
      </c>
      <c r="C12" s="18">
        <f>budget_current!C12*budget_increase!$B$33</f>
        <v>4264731.5999999996</v>
      </c>
      <c r="D12" s="18">
        <f>budget_current!D12*budget_increase!$B$33</f>
        <v>2132365.7999999998</v>
      </c>
      <c r="E12" s="5">
        <v>999999999</v>
      </c>
      <c r="F12" s="5">
        <v>999999999</v>
      </c>
      <c r="G12" s="5">
        <v>999999999</v>
      </c>
      <c r="H12" s="5">
        <v>999999999</v>
      </c>
      <c r="I12" s="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6">
        <v>12</v>
      </c>
      <c r="B13" s="18">
        <f>budget_current!B13*budget_increase!$B$33</f>
        <v>6049508.3999999994</v>
      </c>
      <c r="C13" s="18">
        <f>budget_current!C13*budget_increase!$B$33</f>
        <v>4264731.5999999996</v>
      </c>
      <c r="D13" s="18">
        <f>budget_current!D13*budget_increase!$B$33</f>
        <v>2132365.7999999998</v>
      </c>
      <c r="E13" s="5">
        <v>999999999</v>
      </c>
      <c r="F13" s="5">
        <v>999999999</v>
      </c>
      <c r="G13" s="5">
        <v>999999999</v>
      </c>
      <c r="H13" s="5">
        <v>999999999</v>
      </c>
      <c r="I13" s="4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 s="6">
        <v>13</v>
      </c>
      <c r="B14" s="18">
        <f>budget_current!B14*budget_increase!$B$33</f>
        <v>6049508.3999999994</v>
      </c>
      <c r="C14" s="18">
        <f>budget_current!C14*budget_increase!$B$33</f>
        <v>4264731.5999999996</v>
      </c>
      <c r="D14" s="18">
        <f>budget_current!D14*budget_increase!$B$33</f>
        <v>2132365.7999999998</v>
      </c>
      <c r="E14" s="5">
        <v>999999999</v>
      </c>
      <c r="F14" s="5">
        <v>999999999</v>
      </c>
      <c r="G14" s="5">
        <v>999999999</v>
      </c>
      <c r="H14" s="5">
        <v>999999999</v>
      </c>
      <c r="I14" s="4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</row>
    <row r="15" spans="1:44" x14ac:dyDescent="0.25">
      <c r="A15" s="6">
        <v>14</v>
      </c>
      <c r="B15" s="18">
        <f>budget_current!B15*budget_increase!$B$33</f>
        <v>6049508.3999999994</v>
      </c>
      <c r="C15" s="18">
        <f>budget_current!C15*budget_increase!$B$33</f>
        <v>4264731.5999999996</v>
      </c>
      <c r="D15" s="18">
        <f>budget_current!D15*budget_increase!$B$33</f>
        <v>2132365.7999999998</v>
      </c>
      <c r="E15" s="5">
        <v>999999999</v>
      </c>
      <c r="F15" s="5">
        <v>999999999</v>
      </c>
      <c r="G15" s="5">
        <v>999999999</v>
      </c>
      <c r="H15" s="5">
        <v>999999999</v>
      </c>
      <c r="I15" s="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spans="1:44" x14ac:dyDescent="0.25">
      <c r="A16" s="6">
        <v>15</v>
      </c>
      <c r="B16" s="18">
        <f>budget_current!B16*budget_increase!$B$33</f>
        <v>6049508.3999999994</v>
      </c>
      <c r="C16" s="18">
        <f>budget_current!C16*budget_increase!$B$33</f>
        <v>4264731.5999999996</v>
      </c>
      <c r="D16" s="18">
        <f>budget_current!D16*budget_increase!$B$33</f>
        <v>2132365.7999999998</v>
      </c>
      <c r="E16" s="5">
        <v>999999999</v>
      </c>
      <c r="F16" s="5">
        <v>999999999</v>
      </c>
      <c r="G16" s="5">
        <v>999999999</v>
      </c>
      <c r="H16" s="5">
        <v>999999999</v>
      </c>
      <c r="I16" s="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 spans="1:44" x14ac:dyDescent="0.25">
      <c r="A17" s="6">
        <v>16</v>
      </c>
      <c r="B17" s="18">
        <f>budget_current!B17*budget_increase!$B$33</f>
        <v>6049508.3999999994</v>
      </c>
      <c r="C17" s="18">
        <f>budget_current!C17*budget_increase!$B$33</f>
        <v>4264731.5999999996</v>
      </c>
      <c r="D17" s="18">
        <f>budget_current!D17*budget_increase!$B$33</f>
        <v>2132365.7999999998</v>
      </c>
      <c r="E17" s="5">
        <v>999999999</v>
      </c>
      <c r="F17" s="5">
        <v>999999999</v>
      </c>
      <c r="G17" s="5">
        <v>999999999</v>
      </c>
      <c r="H17" s="5">
        <v>999999999</v>
      </c>
      <c r="I17" s="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 spans="1:44" x14ac:dyDescent="0.25">
      <c r="A18" s="6">
        <v>17</v>
      </c>
      <c r="B18" s="18">
        <f>budget_current!B18*budget_increase!$B$33</f>
        <v>6049508.3999999994</v>
      </c>
      <c r="C18" s="18">
        <f>budget_current!C18*budget_increase!$B$33</f>
        <v>4264731.5999999996</v>
      </c>
      <c r="D18" s="18">
        <f>budget_current!D18*budget_increase!$B$33</f>
        <v>2132365.7999999998</v>
      </c>
      <c r="E18" s="5">
        <v>999999999</v>
      </c>
      <c r="F18" s="5">
        <v>999999999</v>
      </c>
      <c r="G18" s="5">
        <v>999999999</v>
      </c>
      <c r="H18" s="5">
        <v>999999999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 x14ac:dyDescent="0.25">
      <c r="A19" s="6">
        <v>18</v>
      </c>
      <c r="B19" s="18">
        <f>budget_current!B19*budget_increase!$B$33</f>
        <v>6049508.3999999994</v>
      </c>
      <c r="C19" s="18">
        <f>budget_current!C19*budget_increase!$B$33</f>
        <v>4264731.5999999996</v>
      </c>
      <c r="D19" s="18">
        <f>budget_current!D19*budget_increase!$B$33</f>
        <v>2132365.7999999998</v>
      </c>
      <c r="E19" s="5">
        <v>999999999</v>
      </c>
      <c r="F19" s="5">
        <v>999999999</v>
      </c>
      <c r="G19" s="5">
        <v>999999999</v>
      </c>
      <c r="H19" s="5">
        <v>999999999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x14ac:dyDescent="0.25">
      <c r="A20" s="6">
        <v>19</v>
      </c>
      <c r="B20" s="18">
        <f>budget_current!B20*budget_increase!$B$33</f>
        <v>6049508.3999999994</v>
      </c>
      <c r="C20" s="18">
        <f>budget_current!C20*budget_increase!$B$33</f>
        <v>4264731.5999999996</v>
      </c>
      <c r="D20" s="18">
        <f>budget_current!D20*budget_increase!$B$33</f>
        <v>2132365.7999999998</v>
      </c>
      <c r="E20" s="5">
        <v>999999999</v>
      </c>
      <c r="F20" s="5">
        <v>999999999</v>
      </c>
      <c r="G20" s="5">
        <v>999999999</v>
      </c>
      <c r="H20" s="5">
        <v>999999999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 x14ac:dyDescent="0.25">
      <c r="A21" s="6">
        <v>20</v>
      </c>
      <c r="B21" s="18">
        <f>budget_current!B21*budget_increase!$B$33</f>
        <v>6049508.3999999994</v>
      </c>
      <c r="C21" s="18">
        <f>budget_current!C21*budget_increase!$B$33</f>
        <v>4264731.5999999996</v>
      </c>
      <c r="D21" s="18">
        <f>budget_current!D21*budget_increase!$B$33</f>
        <v>2132365.7999999998</v>
      </c>
      <c r="E21" s="5">
        <v>999999999</v>
      </c>
      <c r="F21" s="5">
        <v>999999999</v>
      </c>
      <c r="G21" s="5">
        <v>999999999</v>
      </c>
      <c r="H21" s="5">
        <v>999999999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x14ac:dyDescent="0.25">
      <c r="A22" s="6">
        <v>21</v>
      </c>
      <c r="B22" s="18">
        <f>budget_current!B22*budget_increase!$B$33</f>
        <v>6049508.3999999994</v>
      </c>
      <c r="C22" s="18">
        <f>budget_current!C22*budget_increase!$B$33</f>
        <v>4264731.5999999996</v>
      </c>
      <c r="D22" s="18">
        <f>budget_current!D22*budget_increase!$B$33</f>
        <v>2132365.7999999998</v>
      </c>
      <c r="E22" s="5">
        <v>999999999</v>
      </c>
      <c r="F22" s="5">
        <v>999999999</v>
      </c>
      <c r="G22" s="5">
        <v>999999999</v>
      </c>
      <c r="H22" s="5">
        <v>999999999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 x14ac:dyDescent="0.25">
      <c r="A23" s="6">
        <v>22</v>
      </c>
      <c r="B23" s="18">
        <f>budget_current!B23*budget_increase!$B$33</f>
        <v>6049508.3999999994</v>
      </c>
      <c r="C23" s="18">
        <f>budget_current!C23*budget_increase!$B$33</f>
        <v>4264731.5999999996</v>
      </c>
      <c r="D23" s="18">
        <f>budget_current!D23*budget_increase!$B$33</f>
        <v>2132365.7999999998</v>
      </c>
      <c r="E23" s="5">
        <v>999999999</v>
      </c>
      <c r="F23" s="5">
        <v>999999999</v>
      </c>
      <c r="G23" s="5">
        <v>999999999</v>
      </c>
      <c r="H23" s="5">
        <v>999999999</v>
      </c>
    </row>
    <row r="24" spans="1:44" x14ac:dyDescent="0.25">
      <c r="A24" s="6">
        <v>23</v>
      </c>
      <c r="B24" s="18">
        <f>budget_current!B24*budget_increase!$B$33</f>
        <v>6049508.3999999994</v>
      </c>
      <c r="C24" s="18">
        <f>budget_current!C24*budget_increase!$B$33</f>
        <v>4264731.5999999996</v>
      </c>
      <c r="D24" s="18">
        <f>budget_current!D24*budget_increase!$B$33</f>
        <v>2132365.7999999998</v>
      </c>
      <c r="E24" s="5">
        <v>999999999</v>
      </c>
      <c r="F24" s="5">
        <v>999999999</v>
      </c>
      <c r="G24" s="5">
        <v>999999999</v>
      </c>
      <c r="H24" s="5">
        <v>999999999</v>
      </c>
    </row>
    <row r="25" spans="1:44" x14ac:dyDescent="0.25">
      <c r="A25" s="6">
        <v>24</v>
      </c>
      <c r="B25" s="18">
        <f>budget_current!B25*budget_increase!$B$33</f>
        <v>6049508.3999999994</v>
      </c>
      <c r="C25" s="18">
        <f>budget_current!C25*budget_increase!$B$33</f>
        <v>4264731.5999999996</v>
      </c>
      <c r="D25" s="18">
        <f>budget_current!D25*budget_increase!$B$33</f>
        <v>2132365.7999999998</v>
      </c>
      <c r="E25" s="5">
        <v>999999999</v>
      </c>
      <c r="F25" s="5">
        <v>999999999</v>
      </c>
      <c r="G25" s="5">
        <v>999999999</v>
      </c>
      <c r="H25" s="5">
        <v>999999999</v>
      </c>
    </row>
    <row r="26" spans="1:44" x14ac:dyDescent="0.25">
      <c r="A26" s="6">
        <v>25</v>
      </c>
      <c r="B26" s="18">
        <f>budget_current!B26*budget_increase!$B$33</f>
        <v>6049508.3999999994</v>
      </c>
      <c r="C26" s="18">
        <f>budget_current!C26*budget_increase!$B$33</f>
        <v>4264731.5999999996</v>
      </c>
      <c r="D26" s="18">
        <f>budget_current!D26*budget_increase!$B$33</f>
        <v>2132365.7999999998</v>
      </c>
      <c r="E26" s="5">
        <v>999999999</v>
      </c>
      <c r="F26" s="5">
        <v>999999999</v>
      </c>
      <c r="G26" s="5">
        <v>999999999</v>
      </c>
      <c r="H26" s="5">
        <v>999999999</v>
      </c>
    </row>
    <row r="27" spans="1:44" x14ac:dyDescent="0.25">
      <c r="A27" s="6">
        <v>26</v>
      </c>
      <c r="B27" s="18">
        <f>budget_current!B27*budget_increase!$B$33</f>
        <v>6049508.3999999994</v>
      </c>
      <c r="C27" s="18">
        <f>budget_current!C27*budget_increase!$B$33</f>
        <v>4264731.5999999996</v>
      </c>
      <c r="D27" s="18">
        <f>budget_current!D27*budget_increase!$B$33</f>
        <v>2132365.7999999998</v>
      </c>
      <c r="E27" s="5">
        <v>999999999</v>
      </c>
      <c r="F27" s="5">
        <v>999999999</v>
      </c>
      <c r="G27" s="5">
        <v>999999999</v>
      </c>
      <c r="H27" s="5">
        <v>999999999</v>
      </c>
    </row>
    <row r="28" spans="1:44" x14ac:dyDescent="0.25">
      <c r="A28" s="6">
        <v>27</v>
      </c>
      <c r="B28" s="18">
        <f>budget_current!B28*budget_increase!$B$33</f>
        <v>6049508.3999999994</v>
      </c>
      <c r="C28" s="18">
        <f>budget_current!C28*budget_increase!$B$33</f>
        <v>4264731.5999999996</v>
      </c>
      <c r="D28" s="18">
        <f>budget_current!D28*budget_increase!$B$33</f>
        <v>2132365.7999999998</v>
      </c>
      <c r="E28" s="5">
        <v>999999999</v>
      </c>
      <c r="F28" s="5">
        <v>999999999</v>
      </c>
      <c r="G28" s="5">
        <v>999999999</v>
      </c>
      <c r="H28" s="5">
        <v>999999999</v>
      </c>
    </row>
    <row r="29" spans="1:44" x14ac:dyDescent="0.25">
      <c r="A29" s="6">
        <v>28</v>
      </c>
      <c r="B29" s="18">
        <f>budget_current!B29*budget_increase!$B$33</f>
        <v>6049508.3999999994</v>
      </c>
      <c r="C29" s="18">
        <f>budget_current!C29*budget_increase!$B$33</f>
        <v>4264731.5999999996</v>
      </c>
      <c r="D29" s="18">
        <f>budget_current!D29*budget_increase!$B$33</f>
        <v>2132365.7999999998</v>
      </c>
      <c r="E29" s="5">
        <v>999999999</v>
      </c>
      <c r="F29" s="5">
        <v>999999999</v>
      </c>
      <c r="G29" s="5">
        <v>999999999</v>
      </c>
      <c r="H29" s="5">
        <v>999999999</v>
      </c>
    </row>
    <row r="30" spans="1:44" x14ac:dyDescent="0.25">
      <c r="A30" s="6">
        <v>29</v>
      </c>
      <c r="B30" s="18">
        <f>budget_current!B30*budget_increase!$B$33</f>
        <v>6049508.3999999994</v>
      </c>
      <c r="C30" s="18">
        <f>budget_current!C30*budget_increase!$B$33</f>
        <v>4264731.5999999996</v>
      </c>
      <c r="D30" s="18">
        <f>budget_current!D30*budget_increase!$B$33</f>
        <v>2132365.7999999998</v>
      </c>
      <c r="E30" s="5">
        <v>999999999</v>
      </c>
      <c r="F30" s="5">
        <v>999999999</v>
      </c>
      <c r="G30" s="5">
        <v>999999999</v>
      </c>
      <c r="H30" s="5">
        <v>999999999</v>
      </c>
    </row>
    <row r="31" spans="1:44" x14ac:dyDescent="0.25">
      <c r="A31" s="6">
        <v>30</v>
      </c>
      <c r="B31" s="18">
        <f>budget_current!B31*budget_increase!$B$33</f>
        <v>6049508.3999999994</v>
      </c>
      <c r="C31" s="18">
        <f>budget_current!C31*budget_increase!$B$33</f>
        <v>4264731.5999999996</v>
      </c>
      <c r="D31" s="18">
        <f>budget_current!D31*budget_increase!$B$33</f>
        <v>2132365.7999999998</v>
      </c>
      <c r="E31" s="5">
        <v>999999999</v>
      </c>
      <c r="F31" s="5">
        <v>999999999</v>
      </c>
      <c r="G31" s="5">
        <v>999999999</v>
      </c>
      <c r="H31" s="5">
        <v>999999999</v>
      </c>
    </row>
    <row r="33" spans="1:11" x14ac:dyDescent="0.25">
      <c r="A33" s="1"/>
      <c r="B33" s="1">
        <v>1.2</v>
      </c>
      <c r="C33" s="1">
        <v>1.2</v>
      </c>
      <c r="D33" s="1">
        <v>1.2</v>
      </c>
      <c r="E33" s="9"/>
      <c r="F33" s="1"/>
      <c r="G33" s="1"/>
      <c r="H33" s="1"/>
      <c r="I33" s="1"/>
      <c r="J33" s="1"/>
      <c r="K33" s="1"/>
    </row>
    <row r="34" spans="1:1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A312D-0C61-4422-A4F8-3D666B7242C9}">
  <dimension ref="A1:Z35"/>
  <sheetViews>
    <sheetView tabSelected="1" zoomScaleNormal="100" workbookViewId="0">
      <selection activeCell="B13" sqref="B13"/>
    </sheetView>
  </sheetViews>
  <sheetFormatPr defaultRowHeight="15" x14ac:dyDescent="0.25"/>
  <cols>
    <col min="1" max="1" width="6.85546875" style="7" bestFit="1" customWidth="1"/>
    <col min="2" max="2" width="12.42578125" style="7" customWidth="1"/>
    <col min="3" max="3" width="13.42578125" customWidth="1"/>
    <col min="4" max="4" width="12" bestFit="1" customWidth="1"/>
    <col min="5" max="5" width="12.5703125" bestFit="1" customWidth="1"/>
    <col min="6" max="7" width="11.140625" bestFit="1" customWidth="1"/>
    <col min="8" max="8" width="10.85546875" bestFit="1" customWidth="1"/>
    <col min="9" max="9" width="10.85546875" customWidth="1"/>
    <col min="10" max="10" width="13.28515625" bestFit="1" customWidth="1"/>
    <col min="13" max="13" width="11.28515625" bestFit="1" customWidth="1"/>
    <col min="14" max="14" width="14.28515625" bestFit="1" customWidth="1"/>
    <col min="15" max="15" width="11.5703125" bestFit="1" customWidth="1"/>
    <col min="16" max="16" width="25.5703125" bestFit="1" customWidth="1"/>
    <col min="17" max="17" width="24.85546875" bestFit="1" customWidth="1"/>
    <col min="18" max="18" width="12.5703125" bestFit="1" customWidth="1"/>
    <col min="19" max="20" width="12.28515625" bestFit="1" customWidth="1"/>
    <col min="21" max="21" width="13.85546875" bestFit="1" customWidth="1"/>
    <col min="22" max="22" width="11" bestFit="1" customWidth="1"/>
  </cols>
  <sheetData>
    <row r="1" spans="1:26" x14ac:dyDescent="0.25">
      <c r="A1" s="3" t="s">
        <v>0</v>
      </c>
      <c r="B1" s="3" t="s">
        <v>6</v>
      </c>
      <c r="C1" s="3" t="s">
        <v>5</v>
      </c>
      <c r="D1" s="3" t="s">
        <v>12</v>
      </c>
      <c r="E1" s="3" t="s">
        <v>1</v>
      </c>
      <c r="F1" s="3" t="s">
        <v>2</v>
      </c>
      <c r="G1" s="3" t="s">
        <v>3</v>
      </c>
      <c r="H1" s="3" t="s">
        <v>4</v>
      </c>
      <c r="I1" s="14"/>
      <c r="K1" s="3" t="s">
        <v>8</v>
      </c>
      <c r="L1" s="3" t="s">
        <v>11</v>
      </c>
      <c r="M1" s="3" t="s">
        <v>9</v>
      </c>
      <c r="N1" s="3" t="s">
        <v>10</v>
      </c>
    </row>
    <row r="2" spans="1:26" x14ac:dyDescent="0.25">
      <c r="A2" s="6">
        <v>1</v>
      </c>
      <c r="B2" s="18">
        <f>budget_current!B2*budget_optimal!L2</f>
        <v>25206285</v>
      </c>
      <c r="C2" s="18">
        <v>6000000</v>
      </c>
      <c r="D2" s="18">
        <v>3500000</v>
      </c>
      <c r="E2" s="5">
        <v>999999999</v>
      </c>
      <c r="F2" s="5">
        <v>999999999</v>
      </c>
      <c r="G2" s="5">
        <v>999999999</v>
      </c>
      <c r="H2" s="5">
        <v>999999999</v>
      </c>
      <c r="I2" s="15"/>
      <c r="J2" s="11">
        <v>2024</v>
      </c>
      <c r="K2" s="11">
        <v>1</v>
      </c>
      <c r="L2" s="16">
        <v>5</v>
      </c>
      <c r="M2" s="16">
        <v>5</v>
      </c>
      <c r="N2" s="16">
        <v>5</v>
      </c>
      <c r="O2" s="4"/>
    </row>
    <row r="3" spans="1:26" x14ac:dyDescent="0.25">
      <c r="A3" s="6">
        <v>2</v>
      </c>
      <c r="B3" s="18">
        <f>budget_current!B3*budget_optimal!L3</f>
        <v>25206285</v>
      </c>
      <c r="C3" s="18">
        <v>6000000</v>
      </c>
      <c r="D3" s="18">
        <v>3500000</v>
      </c>
      <c r="E3" s="5">
        <v>999999999</v>
      </c>
      <c r="F3" s="5">
        <v>999999999</v>
      </c>
      <c r="G3" s="5">
        <v>999999999</v>
      </c>
      <c r="H3" s="5">
        <v>999999999</v>
      </c>
      <c r="I3" s="15"/>
      <c r="J3" s="11">
        <v>2025</v>
      </c>
      <c r="K3" s="11">
        <v>2</v>
      </c>
      <c r="L3" s="16">
        <v>5</v>
      </c>
      <c r="M3" s="16">
        <v>5</v>
      </c>
      <c r="N3" s="16">
        <v>5</v>
      </c>
    </row>
    <row r="4" spans="1:26" x14ac:dyDescent="0.25">
      <c r="A4" s="6">
        <v>3</v>
      </c>
      <c r="B4" s="18">
        <f>budget_current!B4*budget_optimal!L4</f>
        <v>25206285</v>
      </c>
      <c r="C4" s="18">
        <v>6000000</v>
      </c>
      <c r="D4" s="18">
        <v>3500000</v>
      </c>
      <c r="E4" s="5">
        <v>999999999</v>
      </c>
      <c r="F4" s="5">
        <v>999999999</v>
      </c>
      <c r="G4" s="5">
        <v>999999999</v>
      </c>
      <c r="H4" s="5">
        <v>999999999</v>
      </c>
      <c r="I4" s="15"/>
      <c r="J4" s="11">
        <v>2026</v>
      </c>
      <c r="K4" s="11">
        <v>3</v>
      </c>
      <c r="L4" s="16">
        <v>5</v>
      </c>
      <c r="M4" s="16">
        <v>5</v>
      </c>
      <c r="N4" s="16">
        <v>5</v>
      </c>
    </row>
    <row r="5" spans="1:26" x14ac:dyDescent="0.25">
      <c r="A5" s="6">
        <v>4</v>
      </c>
      <c r="B5" s="18">
        <f>budget_current!B5*budget_optimal!L5</f>
        <v>25206285</v>
      </c>
      <c r="C5" s="18">
        <v>6000000</v>
      </c>
      <c r="D5" s="18">
        <v>3500000</v>
      </c>
      <c r="E5" s="5">
        <v>999999999</v>
      </c>
      <c r="F5" s="5">
        <v>999999999</v>
      </c>
      <c r="G5" s="5">
        <v>999999999</v>
      </c>
      <c r="H5" s="5">
        <v>999999999</v>
      </c>
      <c r="I5" s="15"/>
      <c r="J5" s="11">
        <v>2027</v>
      </c>
      <c r="K5" s="11">
        <v>4</v>
      </c>
      <c r="L5" s="16">
        <v>5</v>
      </c>
      <c r="M5" s="16">
        <v>5</v>
      </c>
      <c r="N5" s="16">
        <v>5</v>
      </c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x14ac:dyDescent="0.25">
      <c r="A6" s="6">
        <v>5</v>
      </c>
      <c r="B6" s="18">
        <f>budget_current!B6*budget_optimal!L6</f>
        <v>25206285</v>
      </c>
      <c r="C6" s="18">
        <v>6000000</v>
      </c>
      <c r="D6" s="18">
        <v>3500000</v>
      </c>
      <c r="E6" s="5">
        <v>999999999</v>
      </c>
      <c r="F6" s="5">
        <v>999999999</v>
      </c>
      <c r="G6" s="5">
        <v>999999999</v>
      </c>
      <c r="H6" s="5">
        <v>999999999</v>
      </c>
      <c r="I6" s="15"/>
      <c r="J6" s="11">
        <v>2028</v>
      </c>
      <c r="K6" s="11">
        <v>5</v>
      </c>
      <c r="L6" s="16">
        <v>5</v>
      </c>
      <c r="M6" s="16">
        <v>5</v>
      </c>
      <c r="N6" s="16">
        <v>5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6">
        <v>6</v>
      </c>
      <c r="B7" s="18">
        <f>budget_current!B7*budget_optimal!L7</f>
        <v>25206285</v>
      </c>
      <c r="C7" s="18">
        <v>6000000</v>
      </c>
      <c r="D7" s="18">
        <v>3500000</v>
      </c>
      <c r="E7" s="5">
        <v>999999999</v>
      </c>
      <c r="F7" s="5">
        <v>999999999</v>
      </c>
      <c r="G7" s="5">
        <v>999999999</v>
      </c>
      <c r="H7" s="5">
        <v>999999999</v>
      </c>
      <c r="I7" s="15"/>
      <c r="J7" s="11">
        <v>2029</v>
      </c>
      <c r="K7" s="11">
        <v>6</v>
      </c>
      <c r="L7" s="16">
        <v>5</v>
      </c>
      <c r="M7" s="16">
        <v>5</v>
      </c>
      <c r="N7" s="16">
        <v>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5">
      <c r="A8" s="6">
        <v>7</v>
      </c>
      <c r="B8" s="18">
        <f>budget_current!B8*budget_optimal!L8</f>
        <v>25206285</v>
      </c>
      <c r="C8" s="18">
        <v>6000000</v>
      </c>
      <c r="D8" s="18">
        <v>3500000</v>
      </c>
      <c r="E8" s="5">
        <v>999999999</v>
      </c>
      <c r="F8" s="5">
        <v>999999999</v>
      </c>
      <c r="G8" s="5">
        <v>999999999</v>
      </c>
      <c r="H8" s="5">
        <v>999999999</v>
      </c>
      <c r="I8" s="15"/>
      <c r="J8" s="11">
        <v>2030</v>
      </c>
      <c r="K8" s="11">
        <v>7</v>
      </c>
      <c r="L8" s="16">
        <v>5</v>
      </c>
      <c r="M8" s="16">
        <v>5</v>
      </c>
      <c r="N8" s="16">
        <v>5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5">
      <c r="A9" s="6">
        <v>8</v>
      </c>
      <c r="B9" s="18">
        <f>budget_current!B9*budget_optimal!L9</f>
        <v>25206285</v>
      </c>
      <c r="C9" s="18">
        <v>6000000</v>
      </c>
      <c r="D9" s="18">
        <v>3500000</v>
      </c>
      <c r="E9" s="5">
        <v>999999999</v>
      </c>
      <c r="F9" s="5">
        <v>999999999</v>
      </c>
      <c r="G9" s="5">
        <v>999999999</v>
      </c>
      <c r="H9" s="5">
        <v>999999999</v>
      </c>
      <c r="I9" s="15"/>
      <c r="J9" s="11">
        <v>2031</v>
      </c>
      <c r="K9" s="11">
        <v>8</v>
      </c>
      <c r="L9" s="16">
        <v>5</v>
      </c>
      <c r="M9" s="16">
        <v>5</v>
      </c>
      <c r="N9" s="16"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5">
      <c r="A10" s="6">
        <v>9</v>
      </c>
      <c r="B10" s="18">
        <f>budget_current!B10*budget_optimal!L10</f>
        <v>25206285</v>
      </c>
      <c r="C10" s="18">
        <v>6000000</v>
      </c>
      <c r="D10" s="18">
        <v>3500000</v>
      </c>
      <c r="E10" s="5">
        <v>999999999</v>
      </c>
      <c r="F10" s="5">
        <v>999999999</v>
      </c>
      <c r="G10" s="5">
        <v>999999999</v>
      </c>
      <c r="H10" s="5">
        <v>999999999</v>
      </c>
      <c r="I10" s="15"/>
      <c r="J10" s="11">
        <v>2032</v>
      </c>
      <c r="K10" s="11">
        <v>9</v>
      </c>
      <c r="L10" s="16">
        <v>5</v>
      </c>
      <c r="M10" s="16">
        <v>5</v>
      </c>
      <c r="N10" s="16">
        <v>5</v>
      </c>
      <c r="O10" s="1"/>
      <c r="V10" s="1"/>
      <c r="W10" s="1"/>
      <c r="X10" s="1"/>
      <c r="Y10" s="1"/>
    </row>
    <row r="11" spans="1:26" x14ac:dyDescent="0.25">
      <c r="A11" s="6">
        <v>10</v>
      </c>
      <c r="B11" s="18">
        <f>budget_current!B11*budget_optimal!L11</f>
        <v>25206285</v>
      </c>
      <c r="C11" s="18">
        <v>6000000</v>
      </c>
      <c r="D11" s="18">
        <v>3500000</v>
      </c>
      <c r="E11" s="5">
        <v>999999999</v>
      </c>
      <c r="F11" s="5">
        <v>999999999</v>
      </c>
      <c r="G11" s="5">
        <v>999999999</v>
      </c>
      <c r="H11" s="5">
        <v>999999999</v>
      </c>
      <c r="I11" s="15"/>
      <c r="J11" s="11">
        <v>2033</v>
      </c>
      <c r="K11" s="11">
        <v>10</v>
      </c>
      <c r="L11" s="16">
        <v>5</v>
      </c>
      <c r="M11" s="16">
        <v>5</v>
      </c>
      <c r="N11" s="16">
        <v>5</v>
      </c>
      <c r="O11" s="1"/>
      <c r="V11" s="1"/>
      <c r="W11" s="1"/>
      <c r="X11" s="1"/>
      <c r="Y11" s="1"/>
    </row>
    <row r="12" spans="1:26" x14ac:dyDescent="0.25">
      <c r="A12" s="6">
        <v>11</v>
      </c>
      <c r="B12" s="18">
        <f>budget_current!B12*budget_optimal!L12</f>
        <v>25206285</v>
      </c>
      <c r="C12" s="18">
        <v>6000000</v>
      </c>
      <c r="D12" s="18">
        <v>3500000</v>
      </c>
      <c r="E12" s="5">
        <v>999999999</v>
      </c>
      <c r="F12" s="5">
        <v>999999999</v>
      </c>
      <c r="G12" s="5">
        <v>999999999</v>
      </c>
      <c r="H12" s="5">
        <v>999999999</v>
      </c>
      <c r="I12" s="15"/>
      <c r="J12" s="12">
        <v>2034</v>
      </c>
      <c r="K12" s="12">
        <v>11</v>
      </c>
      <c r="L12" s="16">
        <v>5</v>
      </c>
      <c r="M12" s="16">
        <v>5</v>
      </c>
      <c r="N12" s="16">
        <v>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6">
        <v>12</v>
      </c>
      <c r="B13" s="18">
        <f>budget_current!B13*budget_optimal!L13</f>
        <v>25206285</v>
      </c>
      <c r="C13" s="18">
        <v>6000000</v>
      </c>
      <c r="D13" s="18">
        <v>3500000</v>
      </c>
      <c r="E13" s="5">
        <v>999999999</v>
      </c>
      <c r="F13" s="5">
        <v>999999999</v>
      </c>
      <c r="G13" s="5">
        <v>999999999</v>
      </c>
      <c r="H13" s="5">
        <v>999999999</v>
      </c>
      <c r="I13" s="15"/>
      <c r="J13" s="12">
        <v>2035</v>
      </c>
      <c r="K13" s="12">
        <v>12</v>
      </c>
      <c r="L13" s="16">
        <v>5</v>
      </c>
      <c r="M13" s="16">
        <v>5</v>
      </c>
      <c r="N13" s="16">
        <v>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6">
        <v>13</v>
      </c>
      <c r="B14" s="18">
        <f>budget_current!B14*budget_optimal!L14</f>
        <v>25206285</v>
      </c>
      <c r="C14" s="18">
        <v>6000000</v>
      </c>
      <c r="D14" s="18">
        <v>3500000</v>
      </c>
      <c r="E14" s="5">
        <v>999999999</v>
      </c>
      <c r="F14" s="5">
        <v>999999999</v>
      </c>
      <c r="G14" s="5">
        <v>999999999</v>
      </c>
      <c r="H14" s="5">
        <v>999999999</v>
      </c>
      <c r="I14" s="15"/>
      <c r="J14" s="12">
        <v>2036</v>
      </c>
      <c r="K14" s="12">
        <v>13</v>
      </c>
      <c r="L14" s="16">
        <v>5</v>
      </c>
      <c r="M14" s="16">
        <v>5</v>
      </c>
      <c r="N14" s="16">
        <v>5</v>
      </c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x14ac:dyDescent="0.25">
      <c r="A15" s="6">
        <v>14</v>
      </c>
      <c r="B15" s="18">
        <f>budget_current!B15*budget_optimal!L15</f>
        <v>25206285</v>
      </c>
      <c r="C15" s="18">
        <v>6000000</v>
      </c>
      <c r="D15" s="18">
        <v>3500000</v>
      </c>
      <c r="E15" s="5">
        <v>999999999</v>
      </c>
      <c r="F15" s="5">
        <v>999999999</v>
      </c>
      <c r="G15" s="5">
        <v>999999999</v>
      </c>
      <c r="H15" s="5">
        <v>999999999</v>
      </c>
      <c r="I15" s="15"/>
      <c r="J15" s="12">
        <v>2037</v>
      </c>
      <c r="K15" s="12">
        <v>14</v>
      </c>
      <c r="L15" s="16">
        <v>5</v>
      </c>
      <c r="M15" s="16">
        <v>5</v>
      </c>
      <c r="N15" s="16">
        <v>5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6">
        <v>15</v>
      </c>
      <c r="B16" s="18">
        <f>budget_current!B16*budget_optimal!L16</f>
        <v>25206285</v>
      </c>
      <c r="C16" s="18">
        <v>6000000</v>
      </c>
      <c r="D16" s="18">
        <v>3500000</v>
      </c>
      <c r="E16" s="5">
        <v>999999999</v>
      </c>
      <c r="F16" s="5">
        <v>999999999</v>
      </c>
      <c r="G16" s="5">
        <v>999999999</v>
      </c>
      <c r="H16" s="5">
        <v>999999999</v>
      </c>
      <c r="I16" s="15"/>
      <c r="J16" s="12">
        <v>2038</v>
      </c>
      <c r="K16" s="12">
        <v>15</v>
      </c>
      <c r="L16" s="16">
        <v>5</v>
      </c>
      <c r="M16" s="16">
        <v>5</v>
      </c>
      <c r="N16" s="16">
        <v>5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6">
        <v>16</v>
      </c>
      <c r="B17" s="18">
        <f>budget_current!B17*budget_optimal!L17</f>
        <v>25206285</v>
      </c>
      <c r="C17" s="18">
        <v>6000000</v>
      </c>
      <c r="D17" s="18">
        <v>3500000</v>
      </c>
      <c r="E17" s="5">
        <v>999999999</v>
      </c>
      <c r="F17" s="5">
        <v>999999999</v>
      </c>
      <c r="G17" s="5">
        <v>999999999</v>
      </c>
      <c r="H17" s="5">
        <v>999999999</v>
      </c>
      <c r="I17" s="15"/>
      <c r="J17" s="12">
        <v>2039</v>
      </c>
      <c r="K17" s="12">
        <v>16</v>
      </c>
      <c r="L17" s="16">
        <v>5</v>
      </c>
      <c r="M17" s="16">
        <v>5</v>
      </c>
      <c r="N17" s="16">
        <v>5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6">
        <v>17</v>
      </c>
      <c r="B18" s="18">
        <f>budget_current!B18*budget_optimal!L18</f>
        <v>25206285</v>
      </c>
      <c r="C18" s="18">
        <v>6000000</v>
      </c>
      <c r="D18" s="18">
        <v>3500000</v>
      </c>
      <c r="E18" s="5">
        <v>999999999</v>
      </c>
      <c r="F18" s="5">
        <v>999999999</v>
      </c>
      <c r="G18" s="5">
        <v>999999999</v>
      </c>
      <c r="H18" s="5">
        <v>999999999</v>
      </c>
      <c r="I18" s="15"/>
      <c r="J18" s="12">
        <v>2040</v>
      </c>
      <c r="K18" s="12">
        <v>17</v>
      </c>
      <c r="L18" s="16">
        <v>5</v>
      </c>
      <c r="M18" s="16">
        <v>5</v>
      </c>
      <c r="N18" s="16">
        <v>5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6">
        <v>18</v>
      </c>
      <c r="B19" s="18">
        <f>budget_current!B19*budget_optimal!L19</f>
        <v>25206285</v>
      </c>
      <c r="C19" s="18">
        <v>6000000</v>
      </c>
      <c r="D19" s="18">
        <v>3500000</v>
      </c>
      <c r="E19" s="5">
        <v>999999999</v>
      </c>
      <c r="F19" s="5">
        <v>999999999</v>
      </c>
      <c r="G19" s="5">
        <v>999999999</v>
      </c>
      <c r="H19" s="5">
        <v>999999999</v>
      </c>
      <c r="I19" s="15"/>
      <c r="J19" s="12">
        <v>2041</v>
      </c>
      <c r="K19" s="12">
        <v>18</v>
      </c>
      <c r="L19" s="16">
        <v>5</v>
      </c>
      <c r="M19" s="16">
        <v>5</v>
      </c>
      <c r="N19" s="16">
        <v>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6">
        <v>19</v>
      </c>
      <c r="B20" s="18">
        <f>budget_current!B20*budget_optimal!L20</f>
        <v>25206285</v>
      </c>
      <c r="C20" s="18">
        <v>6000000</v>
      </c>
      <c r="D20" s="18">
        <v>3500000</v>
      </c>
      <c r="E20" s="5">
        <v>999999999</v>
      </c>
      <c r="F20" s="5">
        <v>999999999</v>
      </c>
      <c r="G20" s="5">
        <v>999999999</v>
      </c>
      <c r="H20" s="5">
        <v>999999999</v>
      </c>
      <c r="I20" s="15"/>
      <c r="J20" s="12">
        <v>2042</v>
      </c>
      <c r="K20" s="12">
        <v>19</v>
      </c>
      <c r="L20" s="16">
        <v>5</v>
      </c>
      <c r="M20" s="16">
        <v>5</v>
      </c>
      <c r="N20" s="16">
        <v>5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6">
        <v>20</v>
      </c>
      <c r="B21" s="18">
        <f>budget_current!B21*budget_optimal!L21</f>
        <v>25206285</v>
      </c>
      <c r="C21" s="18">
        <v>6000000</v>
      </c>
      <c r="D21" s="18">
        <v>3500000</v>
      </c>
      <c r="E21" s="5">
        <v>999999999</v>
      </c>
      <c r="F21" s="5">
        <v>999999999</v>
      </c>
      <c r="G21" s="5">
        <v>999999999</v>
      </c>
      <c r="H21" s="5">
        <v>999999999</v>
      </c>
      <c r="I21" s="15"/>
      <c r="J21" s="12">
        <v>2043</v>
      </c>
      <c r="K21" s="12">
        <v>20</v>
      </c>
      <c r="L21" s="16">
        <v>5</v>
      </c>
      <c r="M21" s="16">
        <v>5</v>
      </c>
      <c r="N21" s="16">
        <v>5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6">
        <v>21</v>
      </c>
      <c r="B22" s="18">
        <f>budget_current!B22*budget_optimal!L22</f>
        <v>25206285</v>
      </c>
      <c r="C22" s="18">
        <v>6000000</v>
      </c>
      <c r="D22" s="18">
        <v>3500000</v>
      </c>
      <c r="E22" s="5">
        <v>999999999</v>
      </c>
      <c r="F22" s="5">
        <v>999999999</v>
      </c>
      <c r="G22" s="5">
        <v>999999999</v>
      </c>
      <c r="H22" s="5">
        <v>999999999</v>
      </c>
      <c r="I22" s="15"/>
      <c r="J22" s="13">
        <v>2044</v>
      </c>
      <c r="K22" s="13">
        <v>21</v>
      </c>
      <c r="L22" s="16">
        <v>5</v>
      </c>
      <c r="M22" s="16">
        <v>5</v>
      </c>
      <c r="N22" s="16">
        <v>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6">
        <v>22</v>
      </c>
      <c r="B23" s="18">
        <f>budget_current!B23*budget_optimal!L23</f>
        <v>25206285</v>
      </c>
      <c r="C23" s="18">
        <v>6000000</v>
      </c>
      <c r="D23" s="18">
        <v>3500000</v>
      </c>
      <c r="E23" s="5">
        <v>999999999</v>
      </c>
      <c r="F23" s="5">
        <v>999999999</v>
      </c>
      <c r="G23" s="5">
        <v>999999999</v>
      </c>
      <c r="H23" s="5">
        <v>999999999</v>
      </c>
      <c r="I23" s="15"/>
      <c r="J23" s="13">
        <v>2045</v>
      </c>
      <c r="K23" s="13">
        <v>22</v>
      </c>
      <c r="L23" s="16">
        <v>5</v>
      </c>
      <c r="M23" s="16">
        <v>5</v>
      </c>
      <c r="N23" s="16">
        <v>5</v>
      </c>
    </row>
    <row r="24" spans="1:26" x14ac:dyDescent="0.25">
      <c r="A24" s="6">
        <v>23</v>
      </c>
      <c r="B24" s="18">
        <f>budget_current!B24*budget_optimal!L24</f>
        <v>25206285</v>
      </c>
      <c r="C24" s="18">
        <v>6000000</v>
      </c>
      <c r="D24" s="18">
        <v>3500000</v>
      </c>
      <c r="E24" s="5">
        <v>999999999</v>
      </c>
      <c r="F24" s="5">
        <v>999999999</v>
      </c>
      <c r="G24" s="5">
        <v>999999999</v>
      </c>
      <c r="H24" s="5">
        <v>999999999</v>
      </c>
      <c r="I24" s="15"/>
      <c r="J24" s="13">
        <v>2046</v>
      </c>
      <c r="K24" s="13">
        <v>23</v>
      </c>
      <c r="L24" s="16">
        <v>5</v>
      </c>
      <c r="M24" s="16">
        <v>5</v>
      </c>
      <c r="N24" s="16">
        <v>5</v>
      </c>
    </row>
    <row r="25" spans="1:26" x14ac:dyDescent="0.25">
      <c r="A25" s="6">
        <v>24</v>
      </c>
      <c r="B25" s="18">
        <f>budget_current!B25*budget_optimal!L25</f>
        <v>25206285</v>
      </c>
      <c r="C25" s="18">
        <v>6000000</v>
      </c>
      <c r="D25" s="18">
        <v>3500000</v>
      </c>
      <c r="E25" s="5">
        <v>999999999</v>
      </c>
      <c r="F25" s="5">
        <v>999999999</v>
      </c>
      <c r="G25" s="5">
        <v>999999999</v>
      </c>
      <c r="H25" s="5">
        <v>999999999</v>
      </c>
      <c r="I25" s="15"/>
      <c r="J25" s="13">
        <v>2047</v>
      </c>
      <c r="K25" s="13">
        <v>24</v>
      </c>
      <c r="L25" s="16">
        <v>5</v>
      </c>
      <c r="M25" s="16">
        <v>5</v>
      </c>
      <c r="N25" s="16">
        <v>5</v>
      </c>
    </row>
    <row r="26" spans="1:26" x14ac:dyDescent="0.25">
      <c r="A26" s="6">
        <v>25</v>
      </c>
      <c r="B26" s="18">
        <f>budget_current!B26*budget_optimal!L26</f>
        <v>25206285</v>
      </c>
      <c r="C26" s="18">
        <v>6000000</v>
      </c>
      <c r="D26" s="18">
        <v>3500000</v>
      </c>
      <c r="E26" s="5">
        <v>999999999</v>
      </c>
      <c r="F26" s="5">
        <v>999999999</v>
      </c>
      <c r="G26" s="5">
        <v>999999999</v>
      </c>
      <c r="H26" s="5">
        <v>999999999</v>
      </c>
      <c r="I26" s="15"/>
      <c r="J26" s="13">
        <v>2048</v>
      </c>
      <c r="K26" s="13">
        <v>25</v>
      </c>
      <c r="L26" s="16">
        <v>5</v>
      </c>
      <c r="M26" s="16">
        <v>5</v>
      </c>
      <c r="N26" s="16">
        <v>5</v>
      </c>
    </row>
    <row r="27" spans="1:26" x14ac:dyDescent="0.25">
      <c r="A27" s="6">
        <v>26</v>
      </c>
      <c r="B27" s="18">
        <f>budget_current!B27*budget_optimal!L27</f>
        <v>25206285</v>
      </c>
      <c r="C27" s="18">
        <v>6000000</v>
      </c>
      <c r="D27" s="18">
        <v>3500000</v>
      </c>
      <c r="E27" s="5">
        <v>999999999</v>
      </c>
      <c r="F27" s="5">
        <v>999999999</v>
      </c>
      <c r="G27" s="5">
        <v>999999999</v>
      </c>
      <c r="H27" s="5">
        <v>999999999</v>
      </c>
      <c r="I27" s="15"/>
      <c r="J27" s="13">
        <v>2049</v>
      </c>
      <c r="K27" s="13">
        <v>26</v>
      </c>
      <c r="L27" s="16">
        <v>5</v>
      </c>
      <c r="M27" s="16">
        <v>5</v>
      </c>
      <c r="N27" s="16">
        <v>5</v>
      </c>
    </row>
    <row r="28" spans="1:26" x14ac:dyDescent="0.25">
      <c r="A28" s="6">
        <v>27</v>
      </c>
      <c r="B28" s="18">
        <f>budget_current!B28*budget_optimal!L28</f>
        <v>25206285</v>
      </c>
      <c r="C28" s="18">
        <v>6000000</v>
      </c>
      <c r="D28" s="18">
        <v>3500000</v>
      </c>
      <c r="E28" s="5">
        <v>999999999</v>
      </c>
      <c r="F28" s="5">
        <v>999999999</v>
      </c>
      <c r="G28" s="5">
        <v>999999999</v>
      </c>
      <c r="H28" s="5">
        <v>999999999</v>
      </c>
      <c r="I28" s="15"/>
      <c r="J28" s="13">
        <v>2050</v>
      </c>
      <c r="K28" s="13">
        <v>27</v>
      </c>
      <c r="L28" s="16">
        <v>5</v>
      </c>
      <c r="M28" s="16">
        <v>5</v>
      </c>
      <c r="N28" s="16">
        <v>5</v>
      </c>
    </row>
    <row r="29" spans="1:26" x14ac:dyDescent="0.25">
      <c r="A29" s="6">
        <v>28</v>
      </c>
      <c r="B29" s="18">
        <f>budget_current!B29*budget_optimal!L29</f>
        <v>25206285</v>
      </c>
      <c r="C29" s="18">
        <v>6000000</v>
      </c>
      <c r="D29" s="18">
        <v>3500000</v>
      </c>
      <c r="E29" s="5">
        <v>999999999</v>
      </c>
      <c r="F29" s="5">
        <v>999999999</v>
      </c>
      <c r="G29" s="5">
        <v>999999999</v>
      </c>
      <c r="H29" s="5">
        <v>999999999</v>
      </c>
      <c r="I29" s="15"/>
      <c r="J29" s="13">
        <v>2051</v>
      </c>
      <c r="K29" s="13">
        <v>28</v>
      </c>
      <c r="L29" s="16">
        <v>5</v>
      </c>
      <c r="M29" s="16">
        <v>5</v>
      </c>
      <c r="N29" s="16">
        <v>5</v>
      </c>
    </row>
    <row r="30" spans="1:26" x14ac:dyDescent="0.25">
      <c r="A30" s="6">
        <v>29</v>
      </c>
      <c r="B30" s="18">
        <f>budget_current!B30*budget_optimal!L30</f>
        <v>25206285</v>
      </c>
      <c r="C30" s="18">
        <v>6000000</v>
      </c>
      <c r="D30" s="18">
        <v>3500000</v>
      </c>
      <c r="E30" s="5">
        <v>999999999</v>
      </c>
      <c r="F30" s="5">
        <v>999999999</v>
      </c>
      <c r="G30" s="5">
        <v>999999999</v>
      </c>
      <c r="H30" s="5">
        <v>999999999</v>
      </c>
      <c r="I30" s="15"/>
      <c r="J30" s="13">
        <v>2052</v>
      </c>
      <c r="K30" s="13">
        <v>29</v>
      </c>
      <c r="L30" s="16">
        <v>5</v>
      </c>
      <c r="M30" s="16">
        <v>5</v>
      </c>
      <c r="N30" s="16">
        <v>5</v>
      </c>
    </row>
    <row r="31" spans="1:26" x14ac:dyDescent="0.25">
      <c r="A31" s="6">
        <v>30</v>
      </c>
      <c r="B31" s="18">
        <f>budget_current!B31*budget_optimal!L31</f>
        <v>25206285</v>
      </c>
      <c r="C31" s="18">
        <v>6000000</v>
      </c>
      <c r="D31" s="18">
        <v>3500000</v>
      </c>
      <c r="E31" s="5">
        <v>999999999</v>
      </c>
      <c r="F31" s="5">
        <v>999999999</v>
      </c>
      <c r="G31" s="5">
        <v>999999999</v>
      </c>
      <c r="H31" s="5">
        <v>999999999</v>
      </c>
      <c r="I31" s="15"/>
      <c r="J31" s="13">
        <v>2053</v>
      </c>
      <c r="K31" s="13">
        <v>30</v>
      </c>
      <c r="L31" s="16">
        <v>5</v>
      </c>
      <c r="M31" s="16">
        <v>5</v>
      </c>
      <c r="N31" s="16">
        <v>5</v>
      </c>
    </row>
    <row r="33" spans="1:12" x14ac:dyDescent="0.25">
      <c r="A33" s="1"/>
      <c r="B33" s="1"/>
      <c r="C33" s="1"/>
      <c r="D33" s="1"/>
      <c r="E33" s="9"/>
      <c r="F33" s="1"/>
      <c r="G33" s="1"/>
      <c r="H33" s="1"/>
      <c r="I33" s="1"/>
      <c r="J33" s="1"/>
      <c r="K33" s="1"/>
      <c r="L33" s="1" t="s">
        <v>7</v>
      </c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B35" s="1"/>
      <c r="C35" s="1"/>
      <c r="D3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7E686-DB16-4EB5-AAC2-4A5EA5A93786}">
  <dimension ref="A1:K36"/>
  <sheetViews>
    <sheetView zoomScaleNormal="100" workbookViewId="0">
      <selection activeCell="D2" sqref="D2:D36"/>
    </sheetView>
  </sheetViews>
  <sheetFormatPr defaultRowHeight="15" x14ac:dyDescent="0.25"/>
  <cols>
    <col min="1" max="1" width="6.85546875" style="7" bestFit="1" customWidth="1"/>
    <col min="2" max="2" width="14.28515625" style="7" bestFit="1" customWidth="1"/>
    <col min="3" max="4" width="14.28515625" bestFit="1" customWidth="1"/>
    <col min="5" max="5" width="12.5703125" bestFit="1" customWidth="1"/>
    <col min="6" max="7" width="11.140625" bestFit="1" customWidth="1"/>
    <col min="8" max="8" width="10.85546875" bestFit="1" customWidth="1"/>
    <col min="9" max="9" width="13.28515625" bestFit="1" customWidth="1"/>
    <col min="11" max="11" width="15.28515625" bestFit="1" customWidth="1"/>
  </cols>
  <sheetData>
    <row r="1" spans="1:11" x14ac:dyDescent="0.25">
      <c r="A1" s="3" t="s">
        <v>0</v>
      </c>
      <c r="B1" s="3" t="s">
        <v>6</v>
      </c>
      <c r="C1" s="3" t="s">
        <v>5</v>
      </c>
      <c r="D1" s="3" t="s">
        <v>12</v>
      </c>
      <c r="E1" s="3" t="s">
        <v>1</v>
      </c>
      <c r="F1" s="3" t="s">
        <v>2</v>
      </c>
      <c r="G1" s="3" t="s">
        <v>3</v>
      </c>
      <c r="H1" s="3" t="s">
        <v>4</v>
      </c>
    </row>
    <row r="2" spans="1:11" x14ac:dyDescent="0.25">
      <c r="A2" s="20">
        <v>1</v>
      </c>
      <c r="B2" s="23">
        <v>5041257</v>
      </c>
      <c r="C2" s="23">
        <v>3553943</v>
      </c>
      <c r="D2" s="4">
        <f>C2/2</f>
        <v>1776971.5</v>
      </c>
      <c r="E2" s="5">
        <v>999999999</v>
      </c>
      <c r="F2" s="5">
        <v>999999999</v>
      </c>
      <c r="G2" s="5">
        <v>999999999</v>
      </c>
      <c r="H2" s="5">
        <v>999999999</v>
      </c>
      <c r="I2" s="4"/>
      <c r="J2" s="2"/>
      <c r="K2" s="8"/>
    </row>
    <row r="3" spans="1:11" x14ac:dyDescent="0.25">
      <c r="A3" s="20">
        <v>2</v>
      </c>
      <c r="B3" s="23">
        <v>5041257</v>
      </c>
      <c r="C3" s="23">
        <v>3553943</v>
      </c>
      <c r="D3" s="4">
        <f t="shared" ref="D3:D36" si="0">C3/2</f>
        <v>1776971.5</v>
      </c>
      <c r="E3" s="5">
        <v>999999999</v>
      </c>
      <c r="F3" s="5">
        <v>999999999</v>
      </c>
      <c r="G3" s="5">
        <v>999999999</v>
      </c>
      <c r="H3" s="5">
        <v>999999999</v>
      </c>
      <c r="I3" s="4"/>
    </row>
    <row r="4" spans="1:11" x14ac:dyDescent="0.25">
      <c r="A4" s="20">
        <v>3</v>
      </c>
      <c r="B4" s="23">
        <v>5041257</v>
      </c>
      <c r="C4" s="23">
        <v>3553943</v>
      </c>
      <c r="D4" s="4">
        <f t="shared" si="0"/>
        <v>1776971.5</v>
      </c>
      <c r="E4" s="5">
        <v>999999999</v>
      </c>
      <c r="F4" s="5">
        <v>999999999</v>
      </c>
      <c r="G4" s="5">
        <v>999999999</v>
      </c>
      <c r="H4" s="5">
        <v>999999999</v>
      </c>
      <c r="I4" s="4"/>
      <c r="K4" s="19"/>
    </row>
    <row r="5" spans="1:11" x14ac:dyDescent="0.25">
      <c r="A5" s="20">
        <v>4</v>
      </c>
      <c r="B5" s="23">
        <v>5041257</v>
      </c>
      <c r="C5" s="23">
        <v>3553943</v>
      </c>
      <c r="D5" s="4">
        <f t="shared" si="0"/>
        <v>1776971.5</v>
      </c>
      <c r="E5" s="5">
        <v>999999999</v>
      </c>
      <c r="F5" s="5">
        <v>999999999</v>
      </c>
      <c r="G5" s="5">
        <v>999999999</v>
      </c>
      <c r="H5" s="5">
        <v>999999999</v>
      </c>
      <c r="I5" s="4"/>
      <c r="K5" s="19"/>
    </row>
    <row r="6" spans="1:11" x14ac:dyDescent="0.25">
      <c r="A6" s="20">
        <v>5</v>
      </c>
      <c r="B6" s="23">
        <v>5041257</v>
      </c>
      <c r="C6" s="23">
        <v>3553943</v>
      </c>
      <c r="D6" s="4">
        <f t="shared" si="0"/>
        <v>1776971.5</v>
      </c>
      <c r="E6" s="5">
        <v>999999999</v>
      </c>
      <c r="F6" s="5">
        <v>999999999</v>
      </c>
      <c r="G6" s="5">
        <v>999999999</v>
      </c>
      <c r="H6" s="5">
        <v>999999999</v>
      </c>
      <c r="I6" s="4"/>
      <c r="K6" s="19"/>
    </row>
    <row r="7" spans="1:11" x14ac:dyDescent="0.25">
      <c r="A7" s="20">
        <v>6</v>
      </c>
      <c r="B7" s="23">
        <v>5041257</v>
      </c>
      <c r="C7" s="23">
        <v>3553943</v>
      </c>
      <c r="D7" s="4">
        <f t="shared" si="0"/>
        <v>1776971.5</v>
      </c>
      <c r="E7" s="5">
        <v>999999999</v>
      </c>
      <c r="F7" s="5">
        <v>999999999</v>
      </c>
      <c r="G7" s="5">
        <v>999999999</v>
      </c>
      <c r="H7" s="5">
        <v>999999999</v>
      </c>
      <c r="I7" s="4"/>
      <c r="K7" s="19"/>
    </row>
    <row r="8" spans="1:11" x14ac:dyDescent="0.25">
      <c r="A8" s="20">
        <v>7</v>
      </c>
      <c r="B8" s="23">
        <v>5041257</v>
      </c>
      <c r="C8" s="23">
        <v>3553943</v>
      </c>
      <c r="D8" s="4">
        <f t="shared" si="0"/>
        <v>1776971.5</v>
      </c>
      <c r="E8" s="5">
        <v>999999999</v>
      </c>
      <c r="F8" s="5">
        <v>999999999</v>
      </c>
      <c r="G8" s="5">
        <v>999999999</v>
      </c>
      <c r="H8" s="5">
        <v>999999999</v>
      </c>
      <c r="I8" s="4"/>
      <c r="K8" s="19"/>
    </row>
    <row r="9" spans="1:11" x14ac:dyDescent="0.25">
      <c r="A9" s="20">
        <v>8</v>
      </c>
      <c r="B9" s="23">
        <v>5041257</v>
      </c>
      <c r="C9" s="23">
        <v>3553943</v>
      </c>
      <c r="D9" s="4">
        <f t="shared" si="0"/>
        <v>1776971.5</v>
      </c>
      <c r="E9" s="5">
        <v>999999999</v>
      </c>
      <c r="F9" s="5">
        <v>999999999</v>
      </c>
      <c r="G9" s="5">
        <v>999999999</v>
      </c>
      <c r="H9" s="5">
        <v>999999999</v>
      </c>
      <c r="I9" s="4"/>
      <c r="K9" s="19"/>
    </row>
    <row r="10" spans="1:11" x14ac:dyDescent="0.25">
      <c r="A10" s="20">
        <v>9</v>
      </c>
      <c r="B10" s="23">
        <v>5041257</v>
      </c>
      <c r="C10" s="23">
        <v>3553943</v>
      </c>
      <c r="D10" s="4">
        <f t="shared" si="0"/>
        <v>1776971.5</v>
      </c>
      <c r="E10" s="5">
        <v>999999999</v>
      </c>
      <c r="F10" s="5">
        <v>999999999</v>
      </c>
      <c r="G10" s="5">
        <v>999999999</v>
      </c>
      <c r="H10" s="5">
        <v>999999999</v>
      </c>
      <c r="I10" s="4"/>
      <c r="K10" s="19"/>
    </row>
    <row r="11" spans="1:11" x14ac:dyDescent="0.25">
      <c r="A11" s="20">
        <v>10</v>
      </c>
      <c r="B11" s="23">
        <v>5041257</v>
      </c>
      <c r="C11" s="23">
        <v>3553943</v>
      </c>
      <c r="D11" s="4">
        <f t="shared" si="0"/>
        <v>1776971.5</v>
      </c>
      <c r="E11" s="5">
        <v>999999999</v>
      </c>
      <c r="F11" s="5">
        <v>999999999</v>
      </c>
      <c r="G11" s="5">
        <v>999999999</v>
      </c>
      <c r="H11" s="5">
        <v>999999999</v>
      </c>
      <c r="I11" s="4"/>
      <c r="K11" s="19"/>
    </row>
    <row r="12" spans="1:11" x14ac:dyDescent="0.25">
      <c r="A12" s="20">
        <v>11</v>
      </c>
      <c r="B12" s="23">
        <v>5041257</v>
      </c>
      <c r="C12" s="23">
        <v>3553943</v>
      </c>
      <c r="D12" s="4">
        <f t="shared" si="0"/>
        <v>1776971.5</v>
      </c>
      <c r="E12" s="5">
        <v>999999999</v>
      </c>
      <c r="F12" s="5">
        <v>999999999</v>
      </c>
      <c r="G12" s="5">
        <v>999999999</v>
      </c>
      <c r="H12" s="5">
        <v>999999999</v>
      </c>
      <c r="I12" s="4"/>
      <c r="K12" s="19"/>
    </row>
    <row r="13" spans="1:11" x14ac:dyDescent="0.25">
      <c r="A13" s="20">
        <v>12</v>
      </c>
      <c r="B13" s="23">
        <v>5041257</v>
      </c>
      <c r="C13" s="23">
        <v>3553943</v>
      </c>
      <c r="D13" s="4">
        <f t="shared" si="0"/>
        <v>1776971.5</v>
      </c>
      <c r="E13" s="5">
        <v>999999999</v>
      </c>
      <c r="F13" s="5">
        <v>999999999</v>
      </c>
      <c r="G13" s="5">
        <v>999999999</v>
      </c>
      <c r="H13" s="5">
        <v>999999999</v>
      </c>
      <c r="I13" s="4"/>
      <c r="K13" s="19"/>
    </row>
    <row r="14" spans="1:11" x14ac:dyDescent="0.25">
      <c r="A14" s="20">
        <v>13</v>
      </c>
      <c r="B14" s="23">
        <v>5041257</v>
      </c>
      <c r="C14" s="23">
        <v>3553943</v>
      </c>
      <c r="D14" s="4">
        <f t="shared" si="0"/>
        <v>1776971.5</v>
      </c>
      <c r="E14" s="5">
        <v>999999999</v>
      </c>
      <c r="F14" s="5">
        <v>999999999</v>
      </c>
      <c r="G14" s="5">
        <v>999999999</v>
      </c>
      <c r="H14" s="5">
        <v>999999999</v>
      </c>
      <c r="I14" s="4"/>
      <c r="K14" s="19"/>
    </row>
    <row r="15" spans="1:11" x14ac:dyDescent="0.25">
      <c r="A15" s="20">
        <v>14</v>
      </c>
      <c r="B15" s="23">
        <v>5041257</v>
      </c>
      <c r="C15" s="23">
        <v>3553943</v>
      </c>
      <c r="D15" s="4">
        <f t="shared" si="0"/>
        <v>1776971.5</v>
      </c>
      <c r="E15" s="5">
        <v>999999999</v>
      </c>
      <c r="F15" s="5">
        <v>999999999</v>
      </c>
      <c r="G15" s="5">
        <v>999999999</v>
      </c>
      <c r="H15" s="5">
        <v>999999999</v>
      </c>
      <c r="I15" s="4"/>
      <c r="K15" s="19"/>
    </row>
    <row r="16" spans="1:11" x14ac:dyDescent="0.25">
      <c r="A16" s="20">
        <v>15</v>
      </c>
      <c r="B16" s="23">
        <v>5041257</v>
      </c>
      <c r="C16" s="23">
        <v>3553943</v>
      </c>
      <c r="D16" s="4">
        <f t="shared" si="0"/>
        <v>1776971.5</v>
      </c>
      <c r="E16" s="5">
        <v>999999999</v>
      </c>
      <c r="F16" s="5">
        <v>999999999</v>
      </c>
      <c r="G16" s="5">
        <v>999999999</v>
      </c>
      <c r="H16" s="5">
        <v>999999999</v>
      </c>
      <c r="I16" s="4"/>
      <c r="K16" s="19"/>
    </row>
    <row r="17" spans="1:11" x14ac:dyDescent="0.25">
      <c r="A17" s="20">
        <v>16</v>
      </c>
      <c r="B17" s="23">
        <v>5041257</v>
      </c>
      <c r="C17" s="23">
        <v>3553943</v>
      </c>
      <c r="D17" s="4">
        <f t="shared" si="0"/>
        <v>1776971.5</v>
      </c>
      <c r="E17" s="5">
        <v>999999999</v>
      </c>
      <c r="F17" s="5">
        <v>999999999</v>
      </c>
      <c r="G17" s="5">
        <v>999999999</v>
      </c>
      <c r="H17" s="5">
        <v>999999999</v>
      </c>
      <c r="I17" s="4"/>
      <c r="K17" s="19"/>
    </row>
    <row r="18" spans="1:11" x14ac:dyDescent="0.25">
      <c r="A18" s="20">
        <v>17</v>
      </c>
      <c r="B18" s="23">
        <v>5041257</v>
      </c>
      <c r="C18" s="23">
        <v>3553943</v>
      </c>
      <c r="D18" s="4">
        <f t="shared" si="0"/>
        <v>1776971.5</v>
      </c>
      <c r="E18" s="5">
        <v>999999999</v>
      </c>
      <c r="F18" s="5">
        <v>999999999</v>
      </c>
      <c r="G18" s="5">
        <v>999999999</v>
      </c>
      <c r="H18" s="5">
        <v>999999999</v>
      </c>
      <c r="K18" s="19"/>
    </row>
    <row r="19" spans="1:11" x14ac:dyDescent="0.25">
      <c r="A19" s="20">
        <v>18</v>
      </c>
      <c r="B19" s="23">
        <v>5041257</v>
      </c>
      <c r="C19" s="23">
        <v>3553943</v>
      </c>
      <c r="D19" s="4">
        <f t="shared" si="0"/>
        <v>1776971.5</v>
      </c>
      <c r="E19" s="5">
        <v>999999999</v>
      </c>
      <c r="F19" s="5">
        <v>999999999</v>
      </c>
      <c r="G19" s="5">
        <v>999999999</v>
      </c>
      <c r="H19" s="5">
        <v>999999999</v>
      </c>
      <c r="K19" s="19"/>
    </row>
    <row r="20" spans="1:11" x14ac:dyDescent="0.25">
      <c r="A20" s="20">
        <v>19</v>
      </c>
      <c r="B20" s="23">
        <v>5041257</v>
      </c>
      <c r="C20" s="23">
        <v>3553943</v>
      </c>
      <c r="D20" s="4">
        <f t="shared" si="0"/>
        <v>1776971.5</v>
      </c>
      <c r="E20" s="5">
        <v>999999999</v>
      </c>
      <c r="F20" s="5">
        <v>999999999</v>
      </c>
      <c r="G20" s="5">
        <v>999999999</v>
      </c>
      <c r="H20" s="5">
        <v>999999999</v>
      </c>
      <c r="K20" s="19"/>
    </row>
    <row r="21" spans="1:11" x14ac:dyDescent="0.25">
      <c r="A21" s="20">
        <v>20</v>
      </c>
      <c r="B21" s="23">
        <v>5041257</v>
      </c>
      <c r="C21" s="23">
        <v>3553943</v>
      </c>
      <c r="D21" s="4">
        <f t="shared" si="0"/>
        <v>1776971.5</v>
      </c>
      <c r="E21" s="5">
        <v>999999999</v>
      </c>
      <c r="F21" s="5">
        <v>999999999</v>
      </c>
      <c r="G21" s="5">
        <v>999999999</v>
      </c>
      <c r="H21" s="5">
        <v>999999999</v>
      </c>
      <c r="K21" s="19"/>
    </row>
    <row r="22" spans="1:11" x14ac:dyDescent="0.25">
      <c r="A22" s="20">
        <v>21</v>
      </c>
      <c r="B22" s="23">
        <v>5041257</v>
      </c>
      <c r="C22" s="23">
        <v>3553943</v>
      </c>
      <c r="D22" s="4">
        <f t="shared" si="0"/>
        <v>1776971.5</v>
      </c>
      <c r="E22" s="5">
        <v>999999999</v>
      </c>
      <c r="F22" s="5">
        <v>999999999</v>
      </c>
      <c r="G22" s="5">
        <v>999999999</v>
      </c>
      <c r="H22" s="5">
        <v>999999999</v>
      </c>
      <c r="K22" s="19"/>
    </row>
    <row r="23" spans="1:11" x14ac:dyDescent="0.25">
      <c r="A23" s="20">
        <v>22</v>
      </c>
      <c r="B23" s="23">
        <v>5041257</v>
      </c>
      <c r="C23" s="23">
        <v>3553943</v>
      </c>
      <c r="D23" s="4">
        <f t="shared" si="0"/>
        <v>1776971.5</v>
      </c>
      <c r="E23" s="5">
        <v>999999999</v>
      </c>
      <c r="F23" s="5">
        <v>999999999</v>
      </c>
      <c r="G23" s="5">
        <v>999999999</v>
      </c>
      <c r="H23" s="5">
        <v>999999999</v>
      </c>
      <c r="K23" s="19"/>
    </row>
    <row r="24" spans="1:11" x14ac:dyDescent="0.25">
      <c r="A24" s="20">
        <v>23</v>
      </c>
      <c r="B24" s="23">
        <v>5041257</v>
      </c>
      <c r="C24" s="23">
        <v>3553943</v>
      </c>
      <c r="D24" s="4">
        <f t="shared" si="0"/>
        <v>1776971.5</v>
      </c>
      <c r="E24" s="5">
        <v>999999999</v>
      </c>
      <c r="F24" s="5">
        <v>999999999</v>
      </c>
      <c r="G24" s="5">
        <v>999999999</v>
      </c>
      <c r="H24" s="5">
        <v>999999999</v>
      </c>
      <c r="K24" s="19"/>
    </row>
    <row r="25" spans="1:11" x14ac:dyDescent="0.25">
      <c r="A25" s="20">
        <v>24</v>
      </c>
      <c r="B25" s="23">
        <v>5041257</v>
      </c>
      <c r="C25" s="23">
        <v>3553943</v>
      </c>
      <c r="D25" s="4">
        <f t="shared" si="0"/>
        <v>1776971.5</v>
      </c>
      <c r="E25" s="5">
        <v>999999999</v>
      </c>
      <c r="F25" s="5">
        <v>999999999</v>
      </c>
      <c r="G25" s="5">
        <v>999999999</v>
      </c>
      <c r="H25" s="5">
        <v>999999999</v>
      </c>
      <c r="K25" s="19"/>
    </row>
    <row r="26" spans="1:11" x14ac:dyDescent="0.25">
      <c r="A26" s="20">
        <v>25</v>
      </c>
      <c r="B26" s="23">
        <v>5041257</v>
      </c>
      <c r="C26" s="23">
        <v>3553943</v>
      </c>
      <c r="D26" s="4">
        <f t="shared" si="0"/>
        <v>1776971.5</v>
      </c>
      <c r="E26" s="5">
        <v>999999999</v>
      </c>
      <c r="F26" s="5">
        <v>999999999</v>
      </c>
      <c r="G26" s="5">
        <v>999999999</v>
      </c>
      <c r="H26" s="5">
        <v>999999999</v>
      </c>
      <c r="K26" s="19"/>
    </row>
    <row r="27" spans="1:11" x14ac:dyDescent="0.25">
      <c r="A27" s="20">
        <v>26</v>
      </c>
      <c r="B27" s="23">
        <v>5041257</v>
      </c>
      <c r="C27" s="23">
        <v>3553943</v>
      </c>
      <c r="D27" s="4">
        <f t="shared" si="0"/>
        <v>1776971.5</v>
      </c>
      <c r="E27" s="5">
        <v>999999999</v>
      </c>
      <c r="F27" s="5">
        <v>999999999</v>
      </c>
      <c r="G27" s="5">
        <v>999999999</v>
      </c>
      <c r="H27" s="5">
        <v>999999999</v>
      </c>
      <c r="K27" s="19"/>
    </row>
    <row r="28" spans="1:11" x14ac:dyDescent="0.25">
      <c r="A28" s="20">
        <v>27</v>
      </c>
      <c r="B28" s="23">
        <v>5041257</v>
      </c>
      <c r="C28" s="23">
        <v>3553943</v>
      </c>
      <c r="D28" s="4">
        <f t="shared" si="0"/>
        <v>1776971.5</v>
      </c>
      <c r="E28" s="5">
        <v>999999999</v>
      </c>
      <c r="F28" s="5">
        <v>999999999</v>
      </c>
      <c r="G28" s="5">
        <v>999999999</v>
      </c>
      <c r="H28" s="5">
        <v>999999999</v>
      </c>
      <c r="K28" s="19"/>
    </row>
    <row r="29" spans="1:11" x14ac:dyDescent="0.25">
      <c r="A29" s="20">
        <v>28</v>
      </c>
      <c r="B29" s="23">
        <v>5041257</v>
      </c>
      <c r="C29" s="23">
        <v>3553943</v>
      </c>
      <c r="D29" s="4">
        <f t="shared" si="0"/>
        <v>1776971.5</v>
      </c>
      <c r="E29" s="5">
        <v>999999999</v>
      </c>
      <c r="F29" s="5">
        <v>999999999</v>
      </c>
      <c r="G29" s="5">
        <v>999999999</v>
      </c>
      <c r="H29" s="5">
        <v>999999999</v>
      </c>
      <c r="K29" s="19"/>
    </row>
    <row r="30" spans="1:11" x14ac:dyDescent="0.25">
      <c r="A30" s="20">
        <v>29</v>
      </c>
      <c r="B30" s="23">
        <v>5041257</v>
      </c>
      <c r="C30" s="23">
        <v>3553943</v>
      </c>
      <c r="D30" s="4">
        <f t="shared" si="0"/>
        <v>1776971.5</v>
      </c>
      <c r="E30" s="5">
        <v>999999999</v>
      </c>
      <c r="F30" s="5">
        <v>999999999</v>
      </c>
      <c r="G30" s="5">
        <v>999999999</v>
      </c>
      <c r="H30" s="5">
        <v>999999999</v>
      </c>
      <c r="K30" s="19"/>
    </row>
    <row r="31" spans="1:11" x14ac:dyDescent="0.25">
      <c r="A31" s="20">
        <v>30</v>
      </c>
      <c r="B31" s="23">
        <v>5041257</v>
      </c>
      <c r="C31" s="23">
        <v>3553943</v>
      </c>
      <c r="D31" s="4">
        <f t="shared" si="0"/>
        <v>1776971.5</v>
      </c>
      <c r="E31" s="5">
        <v>999999999</v>
      </c>
      <c r="F31" s="5">
        <v>999999999</v>
      </c>
      <c r="G31" s="5">
        <v>999999999</v>
      </c>
      <c r="H31" s="5">
        <v>999999999</v>
      </c>
      <c r="K31" s="19"/>
    </row>
    <row r="32" spans="1:11" x14ac:dyDescent="0.25">
      <c r="A32" s="20">
        <v>31</v>
      </c>
      <c r="B32" s="23">
        <v>5041257</v>
      </c>
      <c r="C32" s="23">
        <v>3553943</v>
      </c>
      <c r="D32" s="4">
        <f t="shared" si="0"/>
        <v>1776971.5</v>
      </c>
      <c r="E32" s="5">
        <v>999999999</v>
      </c>
      <c r="F32" s="5">
        <v>999999999</v>
      </c>
      <c r="G32" s="5">
        <v>999999999</v>
      </c>
      <c r="H32" s="5">
        <v>999999999</v>
      </c>
      <c r="I32" s="1"/>
      <c r="J32" s="1"/>
    </row>
    <row r="33" spans="1:8" x14ac:dyDescent="0.25">
      <c r="A33" s="20">
        <v>32</v>
      </c>
      <c r="B33" s="23">
        <v>5041257</v>
      </c>
      <c r="C33" s="23">
        <v>3553943</v>
      </c>
      <c r="D33" s="4">
        <f t="shared" si="0"/>
        <v>1776971.5</v>
      </c>
      <c r="E33" s="5">
        <v>999999999</v>
      </c>
      <c r="F33" s="5">
        <v>999999999</v>
      </c>
      <c r="G33" s="5">
        <v>999999999</v>
      </c>
      <c r="H33" s="5">
        <v>999999999</v>
      </c>
    </row>
    <row r="34" spans="1:8" x14ac:dyDescent="0.25">
      <c r="A34" s="20">
        <v>33</v>
      </c>
      <c r="B34" s="23">
        <v>5041257</v>
      </c>
      <c r="C34" s="23">
        <v>3553943</v>
      </c>
      <c r="D34" s="4">
        <f t="shared" si="0"/>
        <v>1776971.5</v>
      </c>
      <c r="E34" s="5">
        <v>999999999</v>
      </c>
      <c r="F34" s="5">
        <v>999999999</v>
      </c>
      <c r="G34" s="5">
        <v>999999999</v>
      </c>
      <c r="H34" s="5">
        <v>999999999</v>
      </c>
    </row>
    <row r="35" spans="1:8" x14ac:dyDescent="0.25">
      <c r="A35" s="20">
        <v>34</v>
      </c>
      <c r="B35" s="23">
        <v>5041257</v>
      </c>
      <c r="C35" s="23">
        <v>3553943</v>
      </c>
      <c r="D35" s="4">
        <f t="shared" si="0"/>
        <v>1776971.5</v>
      </c>
      <c r="E35" s="5">
        <v>999999999</v>
      </c>
      <c r="F35" s="5">
        <v>999999999</v>
      </c>
      <c r="G35" s="5">
        <v>999999999</v>
      </c>
      <c r="H35" s="5">
        <v>999999999</v>
      </c>
    </row>
    <row r="36" spans="1:8" x14ac:dyDescent="0.25">
      <c r="A36" s="20">
        <v>35</v>
      </c>
      <c r="B36" s="23">
        <v>5041257</v>
      </c>
      <c r="C36" s="23">
        <v>3553943</v>
      </c>
      <c r="D36" s="4">
        <f t="shared" si="0"/>
        <v>1776971.5</v>
      </c>
      <c r="E36" s="5">
        <v>999999999</v>
      </c>
      <c r="F36" s="5">
        <v>999999999</v>
      </c>
      <c r="G36" s="5">
        <v>999999999</v>
      </c>
      <c r="H36" s="5">
        <v>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1A0D-FB84-4654-8F14-DA3B2B97406E}">
  <dimension ref="A1:K38"/>
  <sheetViews>
    <sheetView topLeftCell="A36" zoomScaleNormal="100" workbookViewId="0">
      <selection activeCell="B38" sqref="B38"/>
    </sheetView>
  </sheetViews>
  <sheetFormatPr defaultRowHeight="15" x14ac:dyDescent="0.25"/>
  <cols>
    <col min="1" max="1" width="6.85546875" style="7" bestFit="1" customWidth="1"/>
    <col min="2" max="2" width="14.28515625" style="7" bestFit="1" customWidth="1"/>
    <col min="3" max="4" width="14.28515625" bestFit="1" customWidth="1"/>
    <col min="5" max="5" width="12.5703125" bestFit="1" customWidth="1"/>
    <col min="6" max="7" width="11.140625" bestFit="1" customWidth="1"/>
    <col min="8" max="8" width="10.85546875" bestFit="1" customWidth="1"/>
    <col min="9" max="9" width="13.28515625" bestFit="1" customWidth="1"/>
    <col min="11" max="11" width="15.28515625" bestFit="1" customWidth="1"/>
  </cols>
  <sheetData>
    <row r="1" spans="1:11" x14ac:dyDescent="0.25">
      <c r="A1" s="3" t="s">
        <v>0</v>
      </c>
      <c r="B1" s="3" t="s">
        <v>6</v>
      </c>
      <c r="C1" s="3" t="s">
        <v>5</v>
      </c>
      <c r="D1" s="3" t="s">
        <v>12</v>
      </c>
      <c r="E1" s="3" t="s">
        <v>1</v>
      </c>
      <c r="F1" s="3" t="s">
        <v>2</v>
      </c>
      <c r="G1" s="3" t="s">
        <v>3</v>
      </c>
      <c r="H1" s="3" t="s">
        <v>4</v>
      </c>
    </row>
    <row r="2" spans="1:11" x14ac:dyDescent="0.25">
      <c r="A2" s="20">
        <v>1</v>
      </c>
      <c r="B2" s="17">
        <f>budget_current!B2*budget_low!B$38</f>
        <v>4033005.6</v>
      </c>
      <c r="C2" s="17">
        <f>budget_current!C2*budget_low!C$38</f>
        <v>2843154.4000000004</v>
      </c>
      <c r="D2" s="17">
        <f>budget_current!D2*budget_low!D$38</f>
        <v>1421577.2000000002</v>
      </c>
      <c r="E2" s="5">
        <v>999999999</v>
      </c>
      <c r="F2" s="5">
        <v>999999999</v>
      </c>
      <c r="G2" s="5">
        <v>999999999</v>
      </c>
      <c r="H2" s="5">
        <v>999999999</v>
      </c>
      <c r="I2" s="4"/>
      <c r="J2" s="2"/>
      <c r="K2" s="8"/>
    </row>
    <row r="3" spans="1:11" x14ac:dyDescent="0.25">
      <c r="A3" s="20">
        <v>2</v>
      </c>
      <c r="B3" s="17">
        <f>budget_current!B3*budget_low!B$38</f>
        <v>4033005.6</v>
      </c>
      <c r="C3" s="17">
        <f>budget_current!C3*budget_low!C$38</f>
        <v>2843154.4000000004</v>
      </c>
      <c r="D3" s="17">
        <f>budget_current!D3*budget_low!D$38</f>
        <v>1421577.2000000002</v>
      </c>
      <c r="E3" s="5">
        <v>999999999</v>
      </c>
      <c r="F3" s="5">
        <v>999999999</v>
      </c>
      <c r="G3" s="5">
        <v>999999999</v>
      </c>
      <c r="H3" s="5">
        <v>999999999</v>
      </c>
      <c r="I3" s="4"/>
    </row>
    <row r="4" spans="1:11" x14ac:dyDescent="0.25">
      <c r="A4" s="20">
        <v>3</v>
      </c>
      <c r="B4" s="17">
        <f>budget_current!B4*budget_low!B$38</f>
        <v>4033005.6</v>
      </c>
      <c r="C4" s="17">
        <f>budget_current!C4*budget_low!C$38</f>
        <v>2843154.4000000004</v>
      </c>
      <c r="D4" s="17">
        <f>budget_current!D4*budget_low!D$38</f>
        <v>1421577.2000000002</v>
      </c>
      <c r="E4" s="5">
        <v>999999999</v>
      </c>
      <c r="F4" s="5">
        <v>999999999</v>
      </c>
      <c r="G4" s="5">
        <v>999999999</v>
      </c>
      <c r="H4" s="5">
        <v>999999999</v>
      </c>
      <c r="I4" s="4"/>
      <c r="K4" s="19"/>
    </row>
    <row r="5" spans="1:11" x14ac:dyDescent="0.25">
      <c r="A5" s="20">
        <v>4</v>
      </c>
      <c r="B5" s="17">
        <f>budget_current!B5*budget_low!B$38</f>
        <v>4033005.6</v>
      </c>
      <c r="C5" s="17">
        <f>budget_current!C5*budget_low!C$38</f>
        <v>2843154.4000000004</v>
      </c>
      <c r="D5" s="17">
        <f>budget_current!D5*budget_low!D$38</f>
        <v>1421577.2000000002</v>
      </c>
      <c r="E5" s="5">
        <v>999999999</v>
      </c>
      <c r="F5" s="5">
        <v>999999999</v>
      </c>
      <c r="G5" s="5">
        <v>999999999</v>
      </c>
      <c r="H5" s="5">
        <v>999999999</v>
      </c>
      <c r="I5" s="4"/>
      <c r="K5" s="19"/>
    </row>
    <row r="6" spans="1:11" x14ac:dyDescent="0.25">
      <c r="A6" s="20">
        <v>5</v>
      </c>
      <c r="B6" s="17">
        <f>budget_current!B6*budget_low!B$38</f>
        <v>4033005.6</v>
      </c>
      <c r="C6" s="17">
        <f>budget_current!C6*budget_low!C$38</f>
        <v>2843154.4000000004</v>
      </c>
      <c r="D6" s="17">
        <f>budget_current!D6*budget_low!D$38</f>
        <v>1421577.2000000002</v>
      </c>
      <c r="E6" s="5">
        <v>999999999</v>
      </c>
      <c r="F6" s="5">
        <v>999999999</v>
      </c>
      <c r="G6" s="5">
        <v>999999999</v>
      </c>
      <c r="H6" s="5">
        <v>999999999</v>
      </c>
      <c r="I6" s="4"/>
      <c r="K6" s="19"/>
    </row>
    <row r="7" spans="1:11" x14ac:dyDescent="0.25">
      <c r="A7" s="20">
        <v>6</v>
      </c>
      <c r="B7" s="17">
        <f>budget_current!B7*budget_low!B$38</f>
        <v>4033005.6</v>
      </c>
      <c r="C7" s="17">
        <f>budget_current!C7*budget_low!C$38</f>
        <v>2843154.4000000004</v>
      </c>
      <c r="D7" s="17">
        <f>budget_current!D7*budget_low!D$38</f>
        <v>1421577.2000000002</v>
      </c>
      <c r="E7" s="5">
        <v>999999999</v>
      </c>
      <c r="F7" s="5">
        <v>999999999</v>
      </c>
      <c r="G7" s="5">
        <v>999999999</v>
      </c>
      <c r="H7" s="5">
        <v>999999999</v>
      </c>
      <c r="I7" s="4"/>
      <c r="K7" s="19"/>
    </row>
    <row r="8" spans="1:11" x14ac:dyDescent="0.25">
      <c r="A8" s="20">
        <v>7</v>
      </c>
      <c r="B8" s="17">
        <f>budget_current!B8*budget_low!B$38</f>
        <v>4033005.6</v>
      </c>
      <c r="C8" s="17">
        <f>budget_current!C8*budget_low!C$38</f>
        <v>2843154.4000000004</v>
      </c>
      <c r="D8" s="17">
        <f>budget_current!D8*budget_low!D$38</f>
        <v>1421577.2000000002</v>
      </c>
      <c r="E8" s="5">
        <v>999999999</v>
      </c>
      <c r="F8" s="5">
        <v>999999999</v>
      </c>
      <c r="G8" s="5">
        <v>999999999</v>
      </c>
      <c r="H8" s="5">
        <v>999999999</v>
      </c>
      <c r="I8" s="4"/>
      <c r="K8" s="19"/>
    </row>
    <row r="9" spans="1:11" x14ac:dyDescent="0.25">
      <c r="A9" s="20">
        <v>8</v>
      </c>
      <c r="B9" s="17">
        <f>budget_current!B9*budget_low!B$38</f>
        <v>4033005.6</v>
      </c>
      <c r="C9" s="17">
        <f>budget_current!C9*budget_low!C$38</f>
        <v>2843154.4000000004</v>
      </c>
      <c r="D9" s="17">
        <f>budget_current!D9*budget_low!D$38</f>
        <v>1421577.2000000002</v>
      </c>
      <c r="E9" s="5">
        <v>999999999</v>
      </c>
      <c r="F9" s="5">
        <v>999999999</v>
      </c>
      <c r="G9" s="5">
        <v>999999999</v>
      </c>
      <c r="H9" s="5">
        <v>999999999</v>
      </c>
      <c r="I9" s="4"/>
      <c r="K9" s="19"/>
    </row>
    <row r="10" spans="1:11" x14ac:dyDescent="0.25">
      <c r="A10" s="20">
        <v>9</v>
      </c>
      <c r="B10" s="17">
        <f>budget_current!B10*budget_low!B$38</f>
        <v>4033005.6</v>
      </c>
      <c r="C10" s="17">
        <f>budget_current!C10*budget_low!C$38</f>
        <v>2843154.4000000004</v>
      </c>
      <c r="D10" s="17">
        <f>budget_current!D10*budget_low!D$38</f>
        <v>1421577.2000000002</v>
      </c>
      <c r="E10" s="5">
        <v>999999999</v>
      </c>
      <c r="F10" s="5">
        <v>999999999</v>
      </c>
      <c r="G10" s="5">
        <v>999999999</v>
      </c>
      <c r="H10" s="5">
        <v>999999999</v>
      </c>
      <c r="I10" s="4"/>
      <c r="K10" s="19"/>
    </row>
    <row r="11" spans="1:11" x14ac:dyDescent="0.25">
      <c r="A11" s="20">
        <v>10</v>
      </c>
      <c r="B11" s="17">
        <f>budget_current!B11*budget_low!B$38</f>
        <v>4033005.6</v>
      </c>
      <c r="C11" s="17">
        <f>budget_current!C11*budget_low!C$38</f>
        <v>2843154.4000000004</v>
      </c>
      <c r="D11" s="17">
        <f>budget_current!D11*budget_low!D$38</f>
        <v>1421577.2000000002</v>
      </c>
      <c r="E11" s="5">
        <v>999999999</v>
      </c>
      <c r="F11" s="5">
        <v>999999999</v>
      </c>
      <c r="G11" s="5">
        <v>999999999</v>
      </c>
      <c r="H11" s="5">
        <v>999999999</v>
      </c>
      <c r="I11" s="4"/>
      <c r="K11" s="19"/>
    </row>
    <row r="12" spans="1:11" x14ac:dyDescent="0.25">
      <c r="A12" s="20">
        <v>11</v>
      </c>
      <c r="B12" s="17">
        <f>budget_current!B12*budget_low!B$38</f>
        <v>4033005.6</v>
      </c>
      <c r="C12" s="17">
        <f>budget_current!C12*budget_low!C$38</f>
        <v>2843154.4000000004</v>
      </c>
      <c r="D12" s="17">
        <f>budget_current!D12*budget_low!D$38</f>
        <v>1421577.2000000002</v>
      </c>
      <c r="E12" s="5">
        <v>999999999</v>
      </c>
      <c r="F12" s="5">
        <v>999999999</v>
      </c>
      <c r="G12" s="5">
        <v>999999999</v>
      </c>
      <c r="H12" s="5">
        <v>999999999</v>
      </c>
      <c r="I12" s="4"/>
      <c r="K12" s="19"/>
    </row>
    <row r="13" spans="1:11" x14ac:dyDescent="0.25">
      <c r="A13" s="20">
        <v>12</v>
      </c>
      <c r="B13" s="17">
        <f>budget_current!B13*budget_low!B$38</f>
        <v>4033005.6</v>
      </c>
      <c r="C13" s="17">
        <f>budget_current!C13*budget_low!C$38</f>
        <v>2843154.4000000004</v>
      </c>
      <c r="D13" s="17">
        <f>budget_current!D13*budget_low!D$38</f>
        <v>1421577.2000000002</v>
      </c>
      <c r="E13" s="5">
        <v>999999999</v>
      </c>
      <c r="F13" s="5">
        <v>999999999</v>
      </c>
      <c r="G13" s="5">
        <v>999999999</v>
      </c>
      <c r="H13" s="5">
        <v>999999999</v>
      </c>
      <c r="I13" s="4"/>
      <c r="K13" s="19"/>
    </row>
    <row r="14" spans="1:11" x14ac:dyDescent="0.25">
      <c r="A14" s="20">
        <v>13</v>
      </c>
      <c r="B14" s="17">
        <f>budget_current!B14*budget_low!B$38</f>
        <v>4033005.6</v>
      </c>
      <c r="C14" s="17">
        <f>budget_current!C14*budget_low!C$38</f>
        <v>2843154.4000000004</v>
      </c>
      <c r="D14" s="17">
        <f>budget_current!D14*budget_low!D$38</f>
        <v>1421577.2000000002</v>
      </c>
      <c r="E14" s="5">
        <v>999999999</v>
      </c>
      <c r="F14" s="5">
        <v>999999999</v>
      </c>
      <c r="G14" s="5">
        <v>999999999</v>
      </c>
      <c r="H14" s="5">
        <v>999999999</v>
      </c>
      <c r="I14" s="4"/>
      <c r="K14" s="19"/>
    </row>
    <row r="15" spans="1:11" x14ac:dyDescent="0.25">
      <c r="A15" s="20">
        <v>14</v>
      </c>
      <c r="B15" s="17">
        <f>budget_current!B15*budget_low!B$38</f>
        <v>4033005.6</v>
      </c>
      <c r="C15" s="17">
        <f>budget_current!C15*budget_low!C$38</f>
        <v>2843154.4000000004</v>
      </c>
      <c r="D15" s="17">
        <f>budget_current!D15*budget_low!D$38</f>
        <v>1421577.2000000002</v>
      </c>
      <c r="E15" s="5">
        <v>999999999</v>
      </c>
      <c r="F15" s="5">
        <v>999999999</v>
      </c>
      <c r="G15" s="5">
        <v>999999999</v>
      </c>
      <c r="H15" s="5">
        <v>999999999</v>
      </c>
      <c r="I15" s="4"/>
      <c r="K15" s="19"/>
    </row>
    <row r="16" spans="1:11" x14ac:dyDescent="0.25">
      <c r="A16" s="20">
        <v>15</v>
      </c>
      <c r="B16" s="17">
        <f>budget_current!B16*budget_low!B$38</f>
        <v>4033005.6</v>
      </c>
      <c r="C16" s="17">
        <f>budget_current!C16*budget_low!C$38</f>
        <v>2843154.4000000004</v>
      </c>
      <c r="D16" s="17">
        <f>budget_current!D16*budget_low!D$38</f>
        <v>1421577.2000000002</v>
      </c>
      <c r="E16" s="5">
        <v>999999999</v>
      </c>
      <c r="F16" s="5">
        <v>999999999</v>
      </c>
      <c r="G16" s="5">
        <v>999999999</v>
      </c>
      <c r="H16" s="5">
        <v>999999999</v>
      </c>
      <c r="I16" s="4"/>
      <c r="K16" s="19"/>
    </row>
    <row r="17" spans="1:11" x14ac:dyDescent="0.25">
      <c r="A17" s="20">
        <v>16</v>
      </c>
      <c r="B17" s="17">
        <f>budget_current!B17*budget_low!B$38</f>
        <v>4033005.6</v>
      </c>
      <c r="C17" s="17">
        <f>budget_current!C17*budget_low!C$38</f>
        <v>2843154.4000000004</v>
      </c>
      <c r="D17" s="17">
        <f>budget_current!D17*budget_low!D$38</f>
        <v>1421577.2000000002</v>
      </c>
      <c r="E17" s="5">
        <v>999999999</v>
      </c>
      <c r="F17" s="5">
        <v>999999999</v>
      </c>
      <c r="G17" s="5">
        <v>999999999</v>
      </c>
      <c r="H17" s="5">
        <v>999999999</v>
      </c>
      <c r="I17" s="4"/>
      <c r="K17" s="19"/>
    </row>
    <row r="18" spans="1:11" x14ac:dyDescent="0.25">
      <c r="A18" s="20">
        <v>17</v>
      </c>
      <c r="B18" s="17">
        <f>budget_current!B18*budget_low!B$38</f>
        <v>4033005.6</v>
      </c>
      <c r="C18" s="17">
        <f>budget_current!C18*budget_low!C$38</f>
        <v>2843154.4000000004</v>
      </c>
      <c r="D18" s="17">
        <f>budget_current!D18*budget_low!D$38</f>
        <v>1421577.2000000002</v>
      </c>
      <c r="E18" s="5">
        <v>999999999</v>
      </c>
      <c r="F18" s="5">
        <v>999999999</v>
      </c>
      <c r="G18" s="5">
        <v>999999999</v>
      </c>
      <c r="H18" s="5">
        <v>999999999</v>
      </c>
      <c r="K18" s="19"/>
    </row>
    <row r="19" spans="1:11" x14ac:dyDescent="0.25">
      <c r="A19" s="20">
        <v>18</v>
      </c>
      <c r="B19" s="17">
        <f>budget_current!B19*budget_low!B$38</f>
        <v>4033005.6</v>
      </c>
      <c r="C19" s="17">
        <f>budget_current!C19*budget_low!C$38</f>
        <v>2843154.4000000004</v>
      </c>
      <c r="D19" s="17">
        <f>budget_current!D19*budget_low!D$38</f>
        <v>1421577.2000000002</v>
      </c>
      <c r="E19" s="5">
        <v>999999999</v>
      </c>
      <c r="F19" s="5">
        <v>999999999</v>
      </c>
      <c r="G19" s="5">
        <v>999999999</v>
      </c>
      <c r="H19" s="5">
        <v>999999999</v>
      </c>
      <c r="K19" s="19"/>
    </row>
    <row r="20" spans="1:11" x14ac:dyDescent="0.25">
      <c r="A20" s="20">
        <v>19</v>
      </c>
      <c r="B20" s="17">
        <f>budget_current!B20*budget_low!B$38</f>
        <v>4033005.6</v>
      </c>
      <c r="C20" s="17">
        <f>budget_current!C20*budget_low!C$38</f>
        <v>2843154.4000000004</v>
      </c>
      <c r="D20" s="17">
        <f>budget_current!D20*budget_low!D$38</f>
        <v>1421577.2000000002</v>
      </c>
      <c r="E20" s="5">
        <v>999999999</v>
      </c>
      <c r="F20" s="5">
        <v>999999999</v>
      </c>
      <c r="G20" s="5">
        <v>999999999</v>
      </c>
      <c r="H20" s="5">
        <v>999999999</v>
      </c>
      <c r="K20" s="19"/>
    </row>
    <row r="21" spans="1:11" x14ac:dyDescent="0.25">
      <c r="A21" s="20">
        <v>20</v>
      </c>
      <c r="B21" s="17">
        <f>budget_current!B21*budget_low!B$38</f>
        <v>4033005.6</v>
      </c>
      <c r="C21" s="17">
        <f>budget_current!C21*budget_low!C$38</f>
        <v>2843154.4000000004</v>
      </c>
      <c r="D21" s="17">
        <f>budget_current!D21*budget_low!D$38</f>
        <v>1421577.2000000002</v>
      </c>
      <c r="E21" s="5">
        <v>999999999</v>
      </c>
      <c r="F21" s="5">
        <v>999999999</v>
      </c>
      <c r="G21" s="5">
        <v>999999999</v>
      </c>
      <c r="H21" s="5">
        <v>999999999</v>
      </c>
      <c r="K21" s="19"/>
    </row>
    <row r="22" spans="1:11" x14ac:dyDescent="0.25">
      <c r="A22" s="20">
        <v>21</v>
      </c>
      <c r="B22" s="17">
        <f>budget_current!B22*budget_low!B$38</f>
        <v>4033005.6</v>
      </c>
      <c r="C22" s="17">
        <f>budget_current!C22*budget_low!C$38</f>
        <v>2843154.4000000004</v>
      </c>
      <c r="D22" s="17">
        <f>budget_current!D22*budget_low!D$38</f>
        <v>1421577.2000000002</v>
      </c>
      <c r="E22" s="5">
        <v>999999999</v>
      </c>
      <c r="F22" s="5">
        <v>999999999</v>
      </c>
      <c r="G22" s="5">
        <v>999999999</v>
      </c>
      <c r="H22" s="5">
        <v>999999999</v>
      </c>
      <c r="K22" s="19"/>
    </row>
    <row r="23" spans="1:11" x14ac:dyDescent="0.25">
      <c r="A23" s="20">
        <v>22</v>
      </c>
      <c r="B23" s="17">
        <f>budget_current!B23*budget_low!B$38</f>
        <v>4033005.6</v>
      </c>
      <c r="C23" s="17">
        <f>budget_current!C23*budget_low!C$38</f>
        <v>2843154.4000000004</v>
      </c>
      <c r="D23" s="17">
        <f>budget_current!D23*budget_low!D$38</f>
        <v>1421577.2000000002</v>
      </c>
      <c r="E23" s="5">
        <v>999999999</v>
      </c>
      <c r="F23" s="5">
        <v>999999999</v>
      </c>
      <c r="G23" s="5">
        <v>999999999</v>
      </c>
      <c r="H23" s="5">
        <v>999999999</v>
      </c>
      <c r="K23" s="19"/>
    </row>
    <row r="24" spans="1:11" x14ac:dyDescent="0.25">
      <c r="A24" s="20">
        <v>23</v>
      </c>
      <c r="B24" s="17">
        <f>budget_current!B24*budget_low!B$38</f>
        <v>4033005.6</v>
      </c>
      <c r="C24" s="17">
        <f>budget_current!C24*budget_low!C$38</f>
        <v>2843154.4000000004</v>
      </c>
      <c r="D24" s="17">
        <f>budget_current!D24*budget_low!D$38</f>
        <v>1421577.2000000002</v>
      </c>
      <c r="E24" s="5">
        <v>999999999</v>
      </c>
      <c r="F24" s="5">
        <v>999999999</v>
      </c>
      <c r="G24" s="5">
        <v>999999999</v>
      </c>
      <c r="H24" s="5">
        <v>999999999</v>
      </c>
      <c r="K24" s="19"/>
    </row>
    <row r="25" spans="1:11" x14ac:dyDescent="0.25">
      <c r="A25" s="20">
        <v>24</v>
      </c>
      <c r="B25" s="17">
        <f>budget_current!B25*budget_low!B$38</f>
        <v>4033005.6</v>
      </c>
      <c r="C25" s="17">
        <f>budget_current!C25*budget_low!C$38</f>
        <v>2843154.4000000004</v>
      </c>
      <c r="D25" s="17">
        <f>budget_current!D25*budget_low!D$38</f>
        <v>1421577.2000000002</v>
      </c>
      <c r="E25" s="5">
        <v>999999999</v>
      </c>
      <c r="F25" s="5">
        <v>999999999</v>
      </c>
      <c r="G25" s="5">
        <v>999999999</v>
      </c>
      <c r="H25" s="5">
        <v>999999999</v>
      </c>
      <c r="K25" s="19"/>
    </row>
    <row r="26" spans="1:11" x14ac:dyDescent="0.25">
      <c r="A26" s="20">
        <v>25</v>
      </c>
      <c r="B26" s="17">
        <f>budget_current!B26*budget_low!B$38</f>
        <v>4033005.6</v>
      </c>
      <c r="C26" s="17">
        <f>budget_current!C26*budget_low!C$38</f>
        <v>2843154.4000000004</v>
      </c>
      <c r="D26" s="17">
        <f>budget_current!D26*budget_low!D$38</f>
        <v>1421577.2000000002</v>
      </c>
      <c r="E26" s="5">
        <v>999999999</v>
      </c>
      <c r="F26" s="5">
        <v>999999999</v>
      </c>
      <c r="G26" s="5">
        <v>999999999</v>
      </c>
      <c r="H26" s="5">
        <v>999999999</v>
      </c>
      <c r="K26" s="19"/>
    </row>
    <row r="27" spans="1:11" x14ac:dyDescent="0.25">
      <c r="A27" s="20">
        <v>26</v>
      </c>
      <c r="B27" s="17">
        <f>budget_current!B27*budget_low!B$38</f>
        <v>4033005.6</v>
      </c>
      <c r="C27" s="17">
        <f>budget_current!C27*budget_low!C$38</f>
        <v>2843154.4000000004</v>
      </c>
      <c r="D27" s="17">
        <f>budget_current!D27*budget_low!D$38</f>
        <v>1421577.2000000002</v>
      </c>
      <c r="E27" s="5">
        <v>999999999</v>
      </c>
      <c r="F27" s="5">
        <v>999999999</v>
      </c>
      <c r="G27" s="5">
        <v>999999999</v>
      </c>
      <c r="H27" s="5">
        <v>999999999</v>
      </c>
      <c r="K27" s="19"/>
    </row>
    <row r="28" spans="1:11" x14ac:dyDescent="0.25">
      <c r="A28" s="20">
        <v>27</v>
      </c>
      <c r="B28" s="17">
        <f>budget_current!B28*budget_low!B$38</f>
        <v>4033005.6</v>
      </c>
      <c r="C28" s="17">
        <f>budget_current!C28*budget_low!C$38</f>
        <v>2843154.4000000004</v>
      </c>
      <c r="D28" s="17">
        <f>budget_current!D28*budget_low!D$38</f>
        <v>1421577.2000000002</v>
      </c>
      <c r="E28" s="5">
        <v>999999999</v>
      </c>
      <c r="F28" s="5">
        <v>999999999</v>
      </c>
      <c r="G28" s="5">
        <v>999999999</v>
      </c>
      <c r="H28" s="5">
        <v>999999999</v>
      </c>
      <c r="K28" s="19"/>
    </row>
    <row r="29" spans="1:11" x14ac:dyDescent="0.25">
      <c r="A29" s="20">
        <v>28</v>
      </c>
      <c r="B29" s="17">
        <f>budget_current!B29*budget_low!B$38</f>
        <v>4033005.6</v>
      </c>
      <c r="C29" s="17">
        <f>budget_current!C29*budget_low!C$38</f>
        <v>2843154.4000000004</v>
      </c>
      <c r="D29" s="17">
        <f>budget_current!D29*budget_low!D$38</f>
        <v>1421577.2000000002</v>
      </c>
      <c r="E29" s="5">
        <v>999999999</v>
      </c>
      <c r="F29" s="5">
        <v>999999999</v>
      </c>
      <c r="G29" s="5">
        <v>999999999</v>
      </c>
      <c r="H29" s="5">
        <v>999999999</v>
      </c>
      <c r="K29" s="19"/>
    </row>
    <row r="30" spans="1:11" x14ac:dyDescent="0.25">
      <c r="A30" s="20">
        <v>29</v>
      </c>
      <c r="B30" s="17">
        <f>budget_current!B30*budget_low!B$38</f>
        <v>4033005.6</v>
      </c>
      <c r="C30" s="17">
        <f>budget_current!C30*budget_low!C$38</f>
        <v>2843154.4000000004</v>
      </c>
      <c r="D30" s="17">
        <f>budget_current!D30*budget_low!D$38</f>
        <v>1421577.2000000002</v>
      </c>
      <c r="E30" s="5">
        <v>999999999</v>
      </c>
      <c r="F30" s="5">
        <v>999999999</v>
      </c>
      <c r="G30" s="5">
        <v>999999999</v>
      </c>
      <c r="H30" s="5">
        <v>999999999</v>
      </c>
      <c r="K30" s="19"/>
    </row>
    <row r="31" spans="1:11" x14ac:dyDescent="0.25">
      <c r="A31" s="20">
        <v>30</v>
      </c>
      <c r="B31" s="17">
        <f>budget_current!B31*budget_low!B$38</f>
        <v>4033005.6</v>
      </c>
      <c r="C31" s="17">
        <f>budget_current!C31*budget_low!C$38</f>
        <v>2843154.4000000004</v>
      </c>
      <c r="D31" s="17">
        <f>budget_current!D31*budget_low!D$38</f>
        <v>1421577.2000000002</v>
      </c>
      <c r="E31" s="5">
        <v>999999999</v>
      </c>
      <c r="F31" s="5">
        <v>999999999</v>
      </c>
      <c r="G31" s="5">
        <v>999999999</v>
      </c>
      <c r="H31" s="5">
        <v>999999999</v>
      </c>
      <c r="K31" s="19"/>
    </row>
    <row r="32" spans="1:11" x14ac:dyDescent="0.25">
      <c r="A32" s="20">
        <v>31</v>
      </c>
      <c r="B32" s="17">
        <f>budget_current!B32*budget_low!B$38</f>
        <v>4033005.6</v>
      </c>
      <c r="C32" s="17">
        <f>budget_current!C32*budget_low!C$38</f>
        <v>2843154.4000000004</v>
      </c>
      <c r="D32" s="17">
        <f>budget_current!D32*budget_low!D$38</f>
        <v>1421577.2000000002</v>
      </c>
      <c r="E32" s="5">
        <v>999999999</v>
      </c>
      <c r="F32" s="5">
        <v>999999999</v>
      </c>
      <c r="G32" s="5">
        <v>999999999</v>
      </c>
      <c r="H32" s="5">
        <v>999999999</v>
      </c>
      <c r="I32" s="1"/>
      <c r="J32" s="1"/>
    </row>
    <row r="33" spans="1:8" x14ac:dyDescent="0.25">
      <c r="A33" s="20">
        <v>32</v>
      </c>
      <c r="B33" s="17">
        <f>budget_current!B33*budget_low!B$38</f>
        <v>4033005.6</v>
      </c>
      <c r="C33" s="17">
        <f>budget_current!C33*budget_low!C$38</f>
        <v>2843154.4000000004</v>
      </c>
      <c r="D33" s="17">
        <f>budget_current!D33*budget_low!D$38</f>
        <v>1421577.2000000002</v>
      </c>
      <c r="E33" s="5">
        <v>999999999</v>
      </c>
      <c r="F33" s="5">
        <v>999999999</v>
      </c>
      <c r="G33" s="5">
        <v>999999999</v>
      </c>
      <c r="H33" s="5">
        <v>999999999</v>
      </c>
    </row>
    <row r="34" spans="1:8" x14ac:dyDescent="0.25">
      <c r="A34" s="20">
        <v>33</v>
      </c>
      <c r="B34" s="17">
        <f>budget_current!B34*budget_low!B$38</f>
        <v>4033005.6</v>
      </c>
      <c r="C34" s="17">
        <f>budget_current!C34*budget_low!C$38</f>
        <v>2843154.4000000004</v>
      </c>
      <c r="D34" s="17">
        <f>budget_current!D34*budget_low!D$38</f>
        <v>1421577.2000000002</v>
      </c>
      <c r="E34" s="5">
        <v>999999999</v>
      </c>
      <c r="F34" s="5">
        <v>999999999</v>
      </c>
      <c r="G34" s="5">
        <v>999999999</v>
      </c>
      <c r="H34" s="5">
        <v>999999999</v>
      </c>
    </row>
    <row r="35" spans="1:8" x14ac:dyDescent="0.25">
      <c r="A35" s="20">
        <v>34</v>
      </c>
      <c r="B35" s="17">
        <f>budget_current!B35*budget_low!B$38</f>
        <v>4033005.6</v>
      </c>
      <c r="C35" s="17">
        <f>budget_current!C35*budget_low!C$38</f>
        <v>2843154.4000000004</v>
      </c>
      <c r="D35" s="17">
        <f>budget_current!D35*budget_low!D$38</f>
        <v>1421577.2000000002</v>
      </c>
      <c r="E35" s="5">
        <v>999999999</v>
      </c>
      <c r="F35" s="5">
        <v>999999999</v>
      </c>
      <c r="G35" s="5">
        <v>999999999</v>
      </c>
      <c r="H35" s="5">
        <v>999999999</v>
      </c>
    </row>
    <row r="36" spans="1:8" x14ac:dyDescent="0.25">
      <c r="A36" s="20">
        <v>35</v>
      </c>
      <c r="B36" s="17">
        <f>budget_current!B36*budget_low!B$38</f>
        <v>4033005.6</v>
      </c>
      <c r="C36" s="17">
        <f>budget_current!C36*budget_low!C$38</f>
        <v>2843154.4000000004</v>
      </c>
      <c r="D36" s="17">
        <f>budget_current!D36*budget_low!D$38</f>
        <v>1421577.2000000002</v>
      </c>
      <c r="E36" s="5">
        <v>999999999</v>
      </c>
      <c r="F36" s="5">
        <v>999999999</v>
      </c>
      <c r="G36" s="5">
        <v>999999999</v>
      </c>
      <c r="H36" s="5">
        <v>999999999</v>
      </c>
    </row>
    <row r="38" spans="1:8" x14ac:dyDescent="0.25">
      <c r="B38" s="7">
        <v>0.8</v>
      </c>
      <c r="C38" s="24">
        <v>0.8</v>
      </c>
      <c r="D38" s="25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budget_forecast</vt:lpstr>
      <vt:lpstr>summary</vt:lpstr>
      <vt:lpstr>budget_increase</vt:lpstr>
      <vt:lpstr>budget_optimal</vt:lpstr>
      <vt:lpstr>budget_current</vt:lpstr>
      <vt:lpstr>budget_low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Dean</dc:creator>
  <cp:lastModifiedBy>Sanet Jooste</cp:lastModifiedBy>
  <cp:lastPrinted>2025-08-25T03:58:13Z</cp:lastPrinted>
  <dcterms:created xsi:type="dcterms:W3CDTF">2015-06-05T18:17:20Z</dcterms:created>
  <dcterms:modified xsi:type="dcterms:W3CDTF">2025-10-01T23:01:35Z</dcterms:modified>
</cp:coreProperties>
</file>